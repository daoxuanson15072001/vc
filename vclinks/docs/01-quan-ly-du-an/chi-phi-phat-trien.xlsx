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Dự báo lại" sheetId="2" state="visible" r:id="rId2"/>
    <sheet xmlns:r="http://schemas.openxmlformats.org/officeDocument/2006/relationships" name="Tổng hợp" sheetId="3" state="visible" r:id="rId3"/>
    <sheet xmlns:r="http://schemas.openxmlformats.org/officeDocument/2006/relationships" name="Tiến độ" sheetId="4" state="visible" r:id="rId4"/>
    <sheet xmlns:r="http://schemas.openxmlformats.org/officeDocument/2006/relationships" name="Theo kênh" sheetId="5" state="visible" r:id="rId5"/>
    <sheet xmlns:r="http://schemas.openxmlformats.org/officeDocument/2006/relationships" name="Kịch bản" sheetId="6" state="visible" r:id="rId6"/>
    <sheet xmlns:r="http://schemas.openxmlformats.org/officeDocument/2006/relationships" name="Tham số" sheetId="7" state="visible" r:id="rId7"/>
    <sheet xmlns:r="http://schemas.openxmlformats.org/officeDocument/2006/relationships" name="Hạ tầng" sheetId="8" state="visible" r:id="rId8"/>
    <sheet xmlns:r="http://schemas.openxmlformats.org/officeDocument/2006/relationships" name="Khối lượng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0.0"/>
    <numFmt numFmtId="165" formatCode="dd/mm/yyyy"/>
    <numFmt numFmtId="166" formatCode="0.0\x"/>
    <numFmt numFmtId="167" formatCode="#,##0;\(#,##0\);\-"/>
    <numFmt numFmtId="168" formatCode="#,##0.0;\(#,##0.0\);\-"/>
    <numFmt numFmtId="169" formatCode="0%;\(0%\);\-"/>
    <numFmt numFmtId="170" formatCode="\$#,##0.00;&quot;($&quot;#,##0.00\);\-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color rgb="FF008000"/>
      <sz val="11"/>
    </font>
    <font>
      <name val="Arial"/>
      <charset val="1"/>
      <family val="0"/>
      <i val="1"/>
      <color rgb="FF595959"/>
      <sz val="11"/>
    </font>
    <font>
      <name val="Arial"/>
      <charset val="1"/>
      <family val="0"/>
      <b val="1"/>
      <color rgb="FFFFFFFF"/>
      <sz val="11"/>
    </font>
    <font>
      <name val="Arial"/>
      <family val="2"/>
      <sz val="10"/>
    </font>
    <font>
      <b val="1"/>
      <sz val="14"/>
    </font>
    <font>
      <b val="1"/>
      <color rgb="FFFFFFFF"/>
    </font>
    <font>
      <color rgb="FF0000FF"/>
    </font>
    <font>
      <color rgb="FF008000"/>
    </font>
    <font>
      <b val="1"/>
    </font>
  </fonts>
  <fills count="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top" wrapText="1"/>
    </xf>
    <xf numFmtId="165" fontId="8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167" fontId="6" fillId="0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167" fontId="5" fillId="5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bottom"/>
    </xf>
    <xf numFmtId="167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7" fontId="0" fillId="0" borderId="1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8" fontId="8" fillId="0" borderId="1" applyAlignment="1" pivotButton="0" quotePrefix="0" xfId="0">
      <alignment horizontal="general" vertical="bottom"/>
    </xf>
    <xf numFmtId="1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8" fontId="5" fillId="5" borderId="1" applyAlignment="1" pivotButton="0" quotePrefix="0" xfId="0">
      <alignment horizontal="general" vertical="bottom"/>
    </xf>
    <xf numFmtId="1" fontId="5" fillId="5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165" fontId="5" fillId="5" borderId="1" applyAlignment="1" pivotButton="0" quotePrefix="0" xfId="0">
      <alignment horizontal="general" vertical="bottom"/>
    </xf>
    <xf numFmtId="1" fontId="8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168" fontId="0" fillId="0" borderId="1" applyAlignment="1" pivotButton="0" quotePrefix="0" xfId="0">
      <alignment horizontal="general" vertical="bottom"/>
    </xf>
    <xf numFmtId="169" fontId="0" fillId="0" borderId="1" applyAlignment="1" pivotButton="0" quotePrefix="0" xfId="0">
      <alignment horizontal="general" vertical="bottom"/>
    </xf>
    <xf numFmtId="169" fontId="5" fillId="5" borderId="1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4" fontId="7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1" fontId="6" fillId="0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1" fontId="7" fillId="2" borderId="1" applyAlignment="1" pivotButton="0" quotePrefix="0" xfId="0">
      <alignment horizontal="general" vertical="bottom"/>
    </xf>
    <xf numFmtId="169" fontId="7" fillId="2" borderId="1" applyAlignment="1" pivotButton="0" quotePrefix="0" xfId="0">
      <alignment horizontal="general" vertical="bottom"/>
    </xf>
    <xf numFmtId="2" fontId="7" fillId="2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general" vertical="bottom"/>
    </xf>
    <xf numFmtId="167" fontId="7" fillId="2" borderId="1" applyAlignment="1" pivotButton="0" quotePrefix="0" xfId="0">
      <alignment horizontal="general" vertical="bottom"/>
    </xf>
    <xf numFmtId="170" fontId="7" fillId="0" borderId="1" applyAlignment="1" pivotButton="0" quotePrefix="0" xfId="0">
      <alignment horizontal="general" vertical="bottom"/>
    </xf>
    <xf numFmtId="169" fontId="7" fillId="0" borderId="1" applyAlignment="1" pivotButton="0" quotePrefix="0" xfId="0">
      <alignment horizontal="general" vertical="bottom"/>
    </xf>
    <xf numFmtId="170" fontId="6" fillId="0" borderId="1" applyAlignment="1" pivotButton="0" quotePrefix="0" xfId="0">
      <alignment horizontal="general" vertical="bottom"/>
    </xf>
    <xf numFmtId="168" fontId="7" fillId="0" borderId="1" applyAlignment="1" pivotButton="0" quotePrefix="0" xfId="0">
      <alignment horizontal="general" vertical="bottom"/>
    </xf>
    <xf numFmtId="168" fontId="5" fillId="4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top" wrapText="1"/>
    </xf>
    <xf numFmtId="165" fontId="8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167" fontId="6" fillId="0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167" fontId="5" fillId="5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bottom"/>
    </xf>
    <xf numFmtId="167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7" fontId="0" fillId="0" borderId="1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8" fontId="8" fillId="0" borderId="1" applyAlignment="1" pivotButton="0" quotePrefix="0" xfId="0">
      <alignment horizontal="general" vertical="bottom"/>
    </xf>
    <xf numFmtId="1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8" fontId="5" fillId="5" borderId="1" applyAlignment="1" pivotButton="0" quotePrefix="0" xfId="0">
      <alignment horizontal="general" vertical="bottom"/>
    </xf>
    <xf numFmtId="1" fontId="5" fillId="5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165" fontId="5" fillId="5" borderId="1" applyAlignment="1" pivotButton="0" quotePrefix="0" xfId="0">
      <alignment horizontal="general" vertical="bottom"/>
    </xf>
    <xf numFmtId="1" fontId="8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168" fontId="0" fillId="0" borderId="1" applyAlignment="1" pivotButton="0" quotePrefix="0" xfId="0">
      <alignment horizontal="general" vertical="bottom"/>
    </xf>
    <xf numFmtId="169" fontId="0" fillId="0" borderId="1" applyAlignment="1" pivotButton="0" quotePrefix="0" xfId="0">
      <alignment horizontal="general" vertical="bottom"/>
    </xf>
    <xf numFmtId="169" fontId="5" fillId="5" borderId="1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4" fontId="7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1" fontId="6" fillId="0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1" fontId="7" fillId="2" borderId="1" applyAlignment="1" pivotButton="0" quotePrefix="0" xfId="0">
      <alignment horizontal="general" vertical="bottom"/>
    </xf>
    <xf numFmtId="169" fontId="7" fillId="2" borderId="1" applyAlignment="1" pivotButton="0" quotePrefix="0" xfId="0">
      <alignment horizontal="general" vertical="bottom"/>
    </xf>
    <xf numFmtId="2" fontId="7" fillId="2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general" vertical="bottom"/>
    </xf>
    <xf numFmtId="167" fontId="7" fillId="2" borderId="1" applyAlignment="1" pivotButton="0" quotePrefix="0" xfId="0">
      <alignment horizontal="general" vertical="bottom"/>
    </xf>
    <xf numFmtId="170" fontId="7" fillId="0" borderId="1" applyAlignment="1" pivotButton="0" quotePrefix="0" xfId="0">
      <alignment horizontal="general" vertical="bottom"/>
    </xf>
    <xf numFmtId="169" fontId="7" fillId="0" borderId="1" applyAlignment="1" pivotButton="0" quotePrefix="0" xfId="0">
      <alignment horizontal="general" vertical="bottom"/>
    </xf>
    <xf numFmtId="170" fontId="6" fillId="0" borderId="1" applyAlignment="1" pivotButton="0" quotePrefix="0" xfId="0">
      <alignment horizontal="general" vertical="bottom"/>
    </xf>
    <xf numFmtId="168" fontId="7" fillId="0" borderId="1" applyAlignment="1" pivotButton="0" quotePrefix="0" xfId="0">
      <alignment horizontal="general" vertical="bottom"/>
    </xf>
    <xf numFmtId="168" fontId="5" fillId="4" borderId="1" applyAlignment="1" pivotButton="0" quotePrefix="0" xfId="0">
      <alignment horizontal="general" vertical="bottom"/>
    </xf>
    <xf numFmtId="0" fontId="12" fillId="0" borderId="0" pivotButton="0" quotePrefix="0" xfId="0"/>
    <xf numFmtId="0" fontId="13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4" fillId="7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3" fontId="14" fillId="7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3" fontId="15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BA</author>
  </authors>
  <commentList>
    <comment ref="C4" authorId="0" shapeId="0">
      <text>
        <t>Dòng mẫu: ngày công theo vai trò ở cột C–H, ước lượng cho cách làm thông thường (không AI).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57" min="1" max="1"/>
    <col width="120" customWidth="1" style="57" min="2" max="2"/>
  </cols>
  <sheetData>
    <row r="1" ht="17.35" customHeight="1" s="58">
      <c r="A1" s="59" t="inlineStr">
        <is>
          <t>VClinks — Chi phí phát triển, duy trì và hạ tầng</t>
        </is>
      </c>
    </row>
    <row r="2">
      <c r="B2" s="57" t="inlineStr">
        <is>
          <t>v0.7 · 05/10/2026. Diễn giải: docs/01-quan-ly-du-an/chi-phi-phat-trien.md. Sheet "Dự báo lại" (mới 05/10/2026) tính lại theo cách làm thực tế: chủ dự án điều phối agent, không có 2 dev</t>
        </is>
      </c>
    </row>
    <row r="3" ht="15" customHeight="1" s="58">
      <c r="A3" s="60" t="inlineStr">
        <is>
          <t>Phiên bản</t>
        </is>
      </c>
      <c r="B3" s="61" t="inlineStr">
        <is>
          <t>v0.4 · 04/10/2026. Diễn giải: docs/ke-hoach/chi-phi-phat-trien.md</t>
        </is>
      </c>
    </row>
    <row r="4" ht="15" customHeight="1" s="58">
      <c r="A4" s="60" t="inlineStr">
        <is>
          <t>Căn cứ phạm vi</t>
        </is>
      </c>
      <c r="B4" s="61" t="inlineStr">
        <is>
          <t>docs/ba/vclinks-ba.md §19 Lộ trình, §20 Rủi ro. Thứ tự làm theo chủ dự án (04/10/2026): M1 → M3 → M2 → M4</t>
        </is>
      </c>
    </row>
    <row r="5" ht="39.55" customHeight="1" s="58">
      <c r="A5" s="60" t="inlineStr">
        <is>
          <t>Đã chốt (04/10/2026)</t>
        </is>
      </c>
      <c r="B5" s="61" t="inlineStr">
        <is>
          <t>2 dev, lương 75 triệu/tháng đã gồm mọi khoản; máy chủ thuê cloud toàn bộ; lưu lượng 30 người dùng, 3.000 tin/ngày, 40% tin soạn nháp; gói Zalo OA 3 triệu/năm; dùng Claude Code Max; mốc 2 tháng, Zalo cá nhân 3 ngày, Khách hàng 360 2 ngày (= kịch bản Lạc quan). M1 → M3 → M2 chỉ làm trên Zalo cá nhân; mọi kênh khác ở M4, mỗi kênh 4 ngày, 2 dev làm song song 2 kênh</t>
        </is>
      </c>
    </row>
    <row r="6" ht="15" customHeight="1" s="58">
      <c r="A6" s="60" t="n"/>
      <c r="B6" s="61" t="n"/>
    </row>
    <row r="7" ht="39.55" customHeight="1" s="58">
      <c r="A7" s="60" t="inlineStr">
        <is>
          <t>Ba nhóm chi phí</t>
        </is>
      </c>
      <c r="B7" s="61" t="inlineStr">
        <is>
          <t>PHÁT TRIỂN (một lần): lương dev, BA, thiết kế giao diện, Claude Code Max trong thời gian làm.  DUY TRÌ (hằng tháng sau khi chạy thật): bảo trì, BA thu góp ý, Claude Code Max cho bảo trì.  HẠ TẦNG: cloud (môi trường thử khi phát triển, môi trường thật khi chạy), Claude API, Zalo OA.</t>
        </is>
      </c>
    </row>
    <row r="8" ht="26.85" customHeight="1" s="58">
      <c r="A8" s="60" t="inlineStr">
        <is>
          <t>Ba kịch bản</t>
        </is>
      </c>
      <c r="B8" s="61" t="inlineStr">
        <is>
          <t>Lạc quan = mốc chủ dự án. Trung bình và Tiêu cực kéo dài thời gian, tăng BA/thiết kế, bảo trì và cấu hình cloud. Kịch bản đã gồm rủi ro nên không cộng thêm % dự phòng.</t>
        </is>
      </c>
    </row>
    <row r="9" ht="15" customHeight="1" s="58">
      <c r="A9" s="60" t="n"/>
      <c r="B9" s="61" t="n"/>
    </row>
    <row r="10" ht="15" customHeight="1" s="58">
      <c r="A10" s="60" t="inlineStr">
        <is>
          <t>Quy ước màu</t>
        </is>
      </c>
      <c r="B10" s="61" t="n"/>
    </row>
    <row r="11" ht="15" customHeight="1" s="58">
      <c r="A11" s="60" t="inlineStr">
        <is>
          <t>Chữ xanh dương</t>
        </is>
      </c>
      <c r="B11" s="62" t="inlineStr">
        <is>
          <t>Số nhập tay</t>
        </is>
      </c>
    </row>
    <row r="12" ht="15" customHeight="1" s="58">
      <c r="A12" s="60" t="inlineStr">
        <is>
          <t>Nền vàng</t>
        </is>
      </c>
      <c r="B12" s="63" t="inlineStr">
        <is>
          <t>Giả định còn chờ xác nhận (báo giá cloud, lương BA/thiết kế, thông số kịch bản)</t>
        </is>
      </c>
    </row>
    <row r="13" ht="15" customHeight="1" s="58">
      <c r="A13" s="60" t="inlineStr">
        <is>
          <t>Chữ đen</t>
        </is>
      </c>
      <c r="B13" s="61" t="inlineStr">
        <is>
          <t>Công thức — không sửa</t>
        </is>
      </c>
    </row>
    <row r="14" ht="15" customHeight="1" s="58">
      <c r="A14" s="60" t="inlineStr">
        <is>
          <t>Chữ xanh lá</t>
        </is>
      </c>
      <c r="B14" s="64" t="inlineStr">
        <is>
          <t>Lấy từ sheet khác</t>
        </is>
      </c>
    </row>
    <row r="15" ht="15" customHeight="1" s="58">
      <c r="A15" s="60" t="n"/>
      <c r="B15" s="61" t="n"/>
    </row>
    <row r="16" ht="26.85" customHeight="1" s="58">
      <c r="A16" s="60" t="inlineStr">
        <is>
          <t>Cách dùng</t>
        </is>
      </c>
      <c r="B16" s="61" t="inlineStr">
        <is>
          <t>1) Sửa thông số kịch bản ở 'Kịch bản'.  2) Sửa lương, giá ở 'Tham số'.  3) Sửa báo giá cloud ở 'Hạ tầng'.  4) Đọc 'Tổng hợp' và 'Tiến độ'.  'Khối lượng' là ngày công ước lượng nếu không dùng AI, dùng để chia thời gian giữa các mảnh và tính tốc độ cần.</t>
        </is>
      </c>
    </row>
    <row r="17" ht="26.85" customHeight="1" s="58">
      <c r="A17" s="60" t="inlineStr">
        <is>
          <t>Không tính</t>
        </is>
      </c>
      <c r="B17" s="61" t="inlineStr">
        <is>
          <t>Phần đã làm tới 04/10/2026 (code nền, VC Zalo UAT 13/13, bộ đặc tả BA 00–07) — chi phí chìm. Công của chủ dự án duyệt. Chi phí phía ERP để VCsales/VCinvoice mở API.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48" customWidth="1" style="58" min="1" max="1"/>
    <col width="16" customWidth="1" style="58" min="2" max="2"/>
    <col width="16" customWidth="1" style="58" min="3" max="3"/>
    <col width="16" customWidth="1" style="58" min="4" max="4"/>
    <col width="14" customWidth="1" style="58" min="5" max="5"/>
    <col width="70" customWidth="1" style="58" min="6" max="6"/>
  </cols>
  <sheetData>
    <row r="1">
      <c r="A1" s="115" t="inlineStr">
        <is>
          <t>Dự báo lại theo cách làm thực tế (05/10/2026)</t>
        </is>
      </c>
    </row>
    <row r="2">
      <c r="A2" s="57" t="inlineStr">
        <is>
          <t>Cách làm thực tế: 2 dev dùng AI viết 100% code (chủ dự án xác nhận 05/10/2026), chạy tối đa 5 agent Claude Code song song; chủ dự án điều phối và duyệt. Ba kịch bản cũ ở sheet Tổng hợp giữ để đối chiếu.</t>
        </is>
      </c>
    </row>
    <row r="4">
      <c r="A4" s="116" t="inlineStr">
        <is>
          <t>1. Số đo M1 (đến 05/10/2026 05:00)</t>
        </is>
      </c>
      <c r="B4" s="116" t="inlineStr">
        <is>
          <t>Kế hoạch</t>
        </is>
      </c>
      <c r="C4" s="116" t="inlineStr">
        <is>
          <t>Thực tế</t>
        </is>
      </c>
      <c r="D4" s="116" t="inlineStr">
        <is>
          <t>Chênh</t>
        </is>
      </c>
      <c r="E4" s="116" t="inlineStr">
        <is>
          <t>Đơn vị</t>
        </is>
      </c>
      <c r="F4" s="116" t="inlineStr">
        <is>
          <t>Nguồn</t>
        </is>
      </c>
    </row>
    <row r="5">
      <c r="A5" s="117" t="inlineStr">
        <is>
          <t>Số phiên code M1</t>
        </is>
      </c>
      <c r="B5" s="118" t="n">
        <v>34</v>
      </c>
      <c r="C5" s="118" t="n">
        <v>38</v>
      </c>
      <c r="D5" s="118">
        <f>C5-B5</f>
        <v/>
      </c>
      <c r="E5" s="117" t="inlineStr">
        <is>
          <t>phiên</t>
        </is>
      </c>
      <c r="F5" s="117" t="inlineStr">
        <is>
          <t>Sổ phiên: thêm M1b-17, M1b-18 (sửa lỗi UAT), M1c-11, M1c-12</t>
        </is>
      </c>
    </row>
    <row r="6">
      <c r="A6" s="117" t="inlineStr">
        <is>
          <t>Phiên đã gộp vào main</t>
        </is>
      </c>
      <c r="B6" s="118" t="n"/>
      <c r="C6" s="118" t="n">
        <v>33</v>
      </c>
      <c r="D6" s="118" t="n"/>
      <c r="E6" s="117" t="inlineStr">
        <is>
          <t>phiên</t>
        </is>
      </c>
      <c r="F6" s="117" t="inlineStr">
        <is>
          <t>33 ✅ + 1 🟡 (M1c-08); còn M1a-07, M1c-11, M1c-12, M1c-10</t>
        </is>
      </c>
    </row>
    <row r="7">
      <c r="A7" s="117" t="inlineStr">
        <is>
          <t>Giờ máy cho các phiên đã gộp</t>
        </is>
      </c>
      <c r="B7" s="118" t="n">
        <v>137</v>
      </c>
      <c r="C7" s="118" t="n"/>
      <c r="D7" s="118" t="n"/>
      <c r="E7" s="117" t="inlineStr">
        <is>
          <t>giờ</t>
        </is>
      </c>
      <c r="F7" s="117" t="inlineStr">
        <is>
          <t>Kế hoạch §4.3 cộng giờ máy của 33 phiên ✅ (M1b-17, 18 không có trong kế hoạch). Bảng §4.3 cộng đủ 34 phiên gốc là 154 giờ, lệch với số 107 giờ ở Tóm tắt kế hoạch</t>
        </is>
      </c>
    </row>
    <row r="8">
      <c r="A8" s="117" t="inlineStr">
        <is>
          <t>Thời gian chạy thực (từ 15:00 04/10 đến 00:17 05/10)</t>
        </is>
      </c>
      <c r="B8" s="118" t="n"/>
      <c r="C8" s="118" t="n">
        <v>9.5</v>
      </c>
      <c r="D8" s="118" t="n"/>
      <c r="E8" s="117" t="inlineStr">
        <is>
          <t>giờ</t>
        </is>
      </c>
      <c r="F8" s="117" t="inlineStr">
        <is>
          <t>Git log: M1-00 commit 15:05, đợt 5–7 gộp xong 00:17</t>
        </is>
      </c>
    </row>
    <row r="9">
      <c r="A9" s="117" t="inlineStr">
        <is>
          <t>Tốc độ so với kế hoạch</t>
        </is>
      </c>
      <c r="B9" s="117" t="n"/>
      <c r="C9" s="117">
        <f>B7/C8</f>
        <v/>
      </c>
      <c r="D9" s="117" t="n"/>
      <c r="E9" s="117" t="inlineStr">
        <is>
          <t>lần</t>
        </is>
      </c>
      <c r="F9" s="117" t="inlineStr">
        <is>
          <t>Giờ máy kế hoạch ÷ giờ chạy thực (5 agent song song)</t>
        </is>
      </c>
    </row>
    <row r="10">
      <c r="A10" s="117" t="inlineStr">
        <is>
          <t>Lượt gọi model trong M1 (Opus / Sonnet / Fable)</t>
        </is>
      </c>
      <c r="B10" s="117" t="n"/>
      <c r="C10" s="117" t="inlineStr">
        <is>
          <t>3.428 / 1.767 / 37</t>
        </is>
      </c>
      <c r="D10" s="117" t="n"/>
      <c r="E10" s="117" t="inlineStr">
        <is>
          <t>lượt</t>
        </is>
      </c>
      <c r="F10" s="117" t="inlineStr">
        <is>
          <t>Nhật ký Claude Code trên máy, 04/10 13:00 → 05/10 05:00</t>
        </is>
      </c>
    </row>
    <row r="11">
      <c r="A11" s="117" t="inlineStr">
        <is>
          <t>% hạn mức tuần đã dùng</t>
        </is>
      </c>
      <c r="B11" s="119" t="n"/>
      <c r="C11" s="119" t="inlineStr">
        <is>
          <t>8% (đầu đợt 1)</t>
        </is>
      </c>
      <c r="D11" s="119" t="n"/>
      <c r="E11" s="117" t="inlineStr">
        <is>
          <t>%</t>
        </is>
      </c>
      <c r="F11" s="117" t="inlineStr">
        <is>
          <t>Nhật ký nhịp; cuối đợt 5–7 chưa đọc /usage</t>
        </is>
      </c>
    </row>
    <row r="12">
      <c r="A12" s="117" t="inlineStr">
        <is>
          <t>Phiên còn ⛔ một phần (chờ đầu vào ngoài hoặc chủ dự án thử tay)</t>
        </is>
      </c>
      <c r="B12" s="118" t="n"/>
      <c r="C12" s="118" t="n">
        <v>27</v>
      </c>
      <c r="D12" s="118" t="n"/>
      <c r="E12" s="117" t="inlineStr">
        <is>
          <t>phiên</t>
        </is>
      </c>
      <c r="F12" s="117" t="inlineStr">
        <is>
          <t>Nút thắt không còn là code mà là E1–E8, thử tay, UAT</t>
        </is>
      </c>
    </row>
    <row r="14">
      <c r="A14" s="116" t="inlineStr">
        <is>
          <t>2. Thông số ba kịch bản mới</t>
        </is>
      </c>
      <c r="B14" s="116" t="inlineStr">
        <is>
          <t>Lạc quan</t>
        </is>
      </c>
      <c r="C14" s="116" t="inlineStr">
        <is>
          <t>Trung bình</t>
        </is>
      </c>
      <c r="D14" s="116" t="inlineStr">
        <is>
          <t>Tiêu cực</t>
        </is>
      </c>
      <c r="E14" s="116" t="inlineStr">
        <is>
          <t>Đơn vị</t>
        </is>
      </c>
      <c r="F14" s="116" t="inlineStr">
        <is>
          <t>Ghi chú</t>
        </is>
      </c>
    </row>
    <row r="15">
      <c r="A15" s="117" t="inlineStr">
        <is>
          <t>Thời gian hoàn thiện M1 → M4</t>
        </is>
      </c>
      <c r="B15" s="120" t="n">
        <v>1.5</v>
      </c>
      <c r="C15" s="120" t="n">
        <v>1.75</v>
      </c>
      <c r="D15" s="120" t="n">
        <v>3</v>
      </c>
      <c r="E15" s="117" t="inlineStr">
        <is>
          <t>tháng</t>
        </is>
      </c>
      <c r="F15" s="117" t="inlineStr">
        <is>
          <t>Do thời gian chờ đầu vào (API ERP, UAT), không do code. Meta App Review và Zalo OA Open API tạm tính 1 ngày (chủ dự án 05/10/2026)</t>
        </is>
      </c>
    </row>
    <row r="16">
      <c r="A16" s="117" t="inlineStr">
        <is>
          <t>Suất Claude Code Max khi phát triển</t>
        </is>
      </c>
      <c r="B16" s="120" t="n">
        <v>3</v>
      </c>
      <c r="C16" s="120" t="n">
        <v>3</v>
      </c>
      <c r="D16" s="120" t="n">
        <v>3</v>
      </c>
      <c r="E16" s="117" t="inlineStr">
        <is>
          <t>suất</t>
        </is>
      </c>
      <c r="F16" s="117" t="inlineStr">
        <is>
          <t>2 dev + chủ dự án điều phối (chủ dự án đồng ý 05/10/2026)</t>
        </is>
      </c>
    </row>
    <row r="17">
      <c r="A17" s="117" t="inlineStr">
        <is>
          <t>Người kiểm thử / BA (% của lương BA)</t>
        </is>
      </c>
      <c r="B17" s="120" t="n">
        <v>0</v>
      </c>
      <c r="C17" s="120" t="n">
        <v>0.25</v>
      </c>
      <c r="D17" s="120" t="n">
        <v>0.5</v>
      </c>
      <c r="E17" s="117" t="inlineStr">
        <is>
          <t>% thời gian</t>
        </is>
      </c>
      <c r="F17" s="117" t="inlineStr">
        <is>
          <t>2 dev tự thử tay và chạy UAT (chủ dự án đồng ý 05/10/2026)</t>
        </is>
      </c>
    </row>
    <row r="18">
      <c r="A18" s="117" t="inlineStr">
        <is>
          <t>Thiết kế giao diện (% của lương thiết kế)</t>
        </is>
      </c>
      <c r="B18" s="120" t="n">
        <v>0</v>
      </c>
      <c r="C18" s="120" t="n">
        <v>0.25</v>
      </c>
      <c r="D18" s="120" t="n">
        <v>0.5</v>
      </c>
      <c r="E18" s="117" t="inlineStr">
        <is>
          <t>% thời gian</t>
        </is>
      </c>
      <c r="F18" s="117" t="inlineStr">
        <is>
          <t>Lạc quan: Claude vẽ canvas, chủ dự án duyệt</t>
        </is>
      </c>
    </row>
    <row r="19">
      <c r="A19" s="117" t="inlineStr">
        <is>
          <t>Suất Claude Code Max khi duy trì</t>
        </is>
      </c>
      <c r="B19" s="120" t="n">
        <v>1</v>
      </c>
      <c r="C19" s="120" t="n">
        <v>1</v>
      </c>
      <c r="D19" s="120" t="n">
        <v>2</v>
      </c>
      <c r="E19" s="117" t="inlineStr">
        <is>
          <t>suất</t>
        </is>
      </c>
      <c r="F19" s="117" t="inlineStr"/>
    </row>
    <row r="20">
      <c r="A20" s="117" t="inlineStr">
        <is>
          <t>BA / kiểm thử khi duy trì</t>
        </is>
      </c>
      <c r="B20" s="120" t="n">
        <v>0.1</v>
      </c>
      <c r="C20" s="120" t="n">
        <v>0.2</v>
      </c>
      <c r="D20" s="120" t="n">
        <v>0.3</v>
      </c>
      <c r="E20" s="117" t="inlineStr">
        <is>
          <t>% thời gian</t>
        </is>
      </c>
      <c r="F20" s="117" t="inlineStr">
        <is>
          <t>Thu góp ý, thử bản sửa</t>
        </is>
      </c>
    </row>
    <row r="21">
      <c r="A21" s="117" t="inlineStr">
        <is>
          <t>Hệ số cấu hình cloud</t>
        </is>
      </c>
      <c r="B21" s="121">
        <f>'Kịch bản'!B14</f>
        <v/>
      </c>
      <c r="C21" s="121">
        <f>'Kịch bản'!C14</f>
        <v/>
      </c>
      <c r="D21" s="121">
        <f>'Kịch bản'!D14</f>
        <v/>
      </c>
      <c r="E21" s="117" t="inlineStr">
        <is>
          <t>hệ số</t>
        </is>
      </c>
      <c r="F21" s="117" t="inlineStr">
        <is>
          <t>Lấy từ Kịch bản</t>
        </is>
      </c>
    </row>
    <row r="23">
      <c r="A23" s="116" t="inlineStr">
        <is>
          <t>3. Chi phí (VNĐ)</t>
        </is>
      </c>
      <c r="B23" s="116" t="inlineStr">
        <is>
          <t>Lạc quan</t>
        </is>
      </c>
      <c r="C23" s="116" t="inlineStr">
        <is>
          <t>Trung bình</t>
        </is>
      </c>
      <c r="D23" s="116" t="inlineStr">
        <is>
          <t>Tiêu cực</t>
        </is>
      </c>
      <c r="E23" s="116" t="inlineStr"/>
      <c r="F23" s="116" t="inlineStr">
        <is>
          <t>Cách tính</t>
        </is>
      </c>
    </row>
    <row r="24">
      <c r="A24" s="117" t="inlineStr">
        <is>
          <t>Claude Code Max khi phát triển</t>
        </is>
      </c>
      <c r="B24" s="122">
        <f>'Tham số'!$B$13*B16*B15</f>
        <v/>
      </c>
      <c r="C24" s="122">
        <f>'Tham số'!$B$13*C16*C15</f>
        <v/>
      </c>
      <c r="D24" s="122">
        <f>'Tham số'!$B$13*D16*D15</f>
        <v/>
      </c>
      <c r="E24" s="117" t="inlineStr"/>
      <c r="F24" s="117" t="inlineStr">
        <is>
          <t>Suất × giá suất × tháng</t>
        </is>
      </c>
    </row>
    <row r="25">
      <c r="A25" s="117" t="inlineStr">
        <is>
          <t>Người kiểm thử / BA</t>
        </is>
      </c>
      <c r="B25" s="122">
        <f>'Tham số'!$B$9*B17*B15</f>
        <v/>
      </c>
      <c r="C25" s="122">
        <f>'Tham số'!$B$9*C17*C15</f>
        <v/>
      </c>
      <c r="D25" s="122">
        <f>'Tham số'!$B$9*D17*D15</f>
        <v/>
      </c>
      <c r="E25" s="117" t="inlineStr"/>
      <c r="F25" s="117" t="inlineStr">
        <is>
          <t>Lương BA × % × tháng</t>
        </is>
      </c>
    </row>
    <row r="26">
      <c r="A26" s="117" t="inlineStr">
        <is>
          <t>Thiết kế giao diện</t>
        </is>
      </c>
      <c r="B26" s="122">
        <f>'Tham số'!$B$10*B18*B15</f>
        <v/>
      </c>
      <c r="C26" s="122">
        <f>'Tham số'!$B$10*C18*C15</f>
        <v/>
      </c>
      <c r="D26" s="122">
        <f>'Tham số'!$B$10*D18*D15</f>
        <v/>
      </c>
      <c r="E26" s="117" t="inlineStr"/>
      <c r="F26" s="117" t="inlineStr">
        <is>
          <t>Lương thiết kế × % × tháng</t>
        </is>
      </c>
    </row>
    <row r="27">
      <c r="A27" s="117" t="inlineStr">
        <is>
          <t>Lương dev</t>
        </is>
      </c>
      <c r="B27" s="123">
        <f>'Tham số'!$B$6*B15</f>
        <v/>
      </c>
      <c r="C27" s="123">
        <f>'Tham số'!$B$6*C15</f>
        <v/>
      </c>
      <c r="D27" s="123">
        <f>'Tham số'!$B$6*D15</f>
        <v/>
      </c>
      <c r="E27" s="117" t="inlineStr"/>
      <c r="F27" s="117" t="inlineStr">
        <is>
          <t>Lương 2 dev (75 triệu/tháng) × tháng; dev dùng AI viết 100% code</t>
        </is>
      </c>
    </row>
    <row r="28">
      <c r="A28" s="124" t="inlineStr">
        <is>
          <t>A. Cộng phát triển</t>
        </is>
      </c>
      <c r="B28" s="122">
        <f>SUM(B24:B27)</f>
        <v/>
      </c>
      <c r="C28" s="122">
        <f>SUM(C24:C27)</f>
        <v/>
      </c>
      <c r="D28" s="122">
        <f>SUM(D24:D27)</f>
        <v/>
      </c>
      <c r="E28" s="117" t="inlineStr"/>
      <c r="F28" s="117" t="inlineStr"/>
    </row>
    <row r="29">
      <c r="A29" s="117" t="inlineStr">
        <is>
          <t>Hạ tầng thử trong giai đoạn phát triển</t>
        </is>
      </c>
      <c r="B29" s="122">
        <f>'Hạ tầng'!$B$15*B21*'Hạ tầng'!$B$16*B15</f>
        <v/>
      </c>
      <c r="C29" s="122">
        <f>'Hạ tầng'!$B$15*C21*'Hạ tầng'!$B$16*C15</f>
        <v/>
      </c>
      <c r="D29" s="122">
        <f>'Hạ tầng'!$B$15*D21*'Hạ tầng'!$B$16*D15</f>
        <v/>
      </c>
      <c r="E29" s="117" t="inlineStr"/>
      <c r="F29" s="117" t="inlineStr">
        <is>
          <t>Cloud × hệ số × 50% × tháng</t>
        </is>
      </c>
    </row>
    <row r="30">
      <c r="A30" s="117" t="inlineStr">
        <is>
          <t>Claude Code Max cho duy trì</t>
        </is>
      </c>
      <c r="B30" s="122">
        <f>'Tham số'!$B$13*B19</f>
        <v/>
      </c>
      <c r="C30" s="122">
        <f>'Tham số'!$B$13*C19</f>
        <v/>
      </c>
      <c r="D30" s="122">
        <f>'Tham số'!$B$13*D19</f>
        <v/>
      </c>
      <c r="E30" s="117" t="inlineStr"/>
      <c r="F30" s="117" t="inlineStr"/>
    </row>
    <row r="31">
      <c r="A31" s="117" t="inlineStr">
        <is>
          <t>Bảo trì dev + BA / kiểm thử khi duy trì</t>
        </is>
      </c>
      <c r="B31" s="122">
        <f>'Kịch bản'!B11*'Tham số'!$B$8+'Tham số'!$B$9*B20</f>
        <v/>
      </c>
      <c r="C31" s="122">
        <f>'Kịch bản'!C11*'Tham số'!$B$8+'Tham số'!$B$9*C20</f>
        <v/>
      </c>
      <c r="D31" s="122">
        <f>'Kịch bản'!D11*'Tham số'!$B$8+'Tham số'!$B$9*D20</f>
        <v/>
      </c>
      <c r="E31" s="117" t="inlineStr"/>
      <c r="F31" s="117" t="inlineStr">
        <is>
          <t>Ngày công bảo trì (Kịch bản: 5 / 8 / 12) × đơn giá ngày dev + lương BA × %</t>
        </is>
      </c>
    </row>
    <row r="32">
      <c r="A32" s="124" t="inlineStr">
        <is>
          <t>B. Cộng duy trì / tháng</t>
        </is>
      </c>
      <c r="B32" s="122">
        <f>SUM(B30:B31)</f>
        <v/>
      </c>
      <c r="C32" s="122">
        <f>SUM(C30:C31)</f>
        <v/>
      </c>
      <c r="D32" s="122">
        <f>SUM(D30:D31)</f>
        <v/>
      </c>
      <c r="E32" s="117" t="inlineStr"/>
      <c r="F32" s="117" t="inlineStr"/>
    </row>
    <row r="33">
      <c r="A33" s="124" t="inlineStr">
        <is>
          <t>C. Hạ tầng chạy thật / tháng</t>
        </is>
      </c>
      <c r="B33" s="125">
        <f>'Tổng hợp'!B27</f>
        <v/>
      </c>
      <c r="C33" s="125">
        <f>'Tổng hợp'!C27</f>
        <v/>
      </c>
      <c r="D33" s="125">
        <f>'Tổng hợp'!D27</f>
        <v/>
      </c>
      <c r="E33" s="117" t="inlineStr"/>
      <c r="F33" s="117" t="inlineStr">
        <is>
          <t>Như ba kịch bản cũ (cloud + Claude API + Zalo OA)</t>
        </is>
      </c>
    </row>
    <row r="34">
      <c r="A34" s="124" t="inlineStr">
        <is>
          <t>TỔNG NĂM ĐẦU (phát triển + 12 tháng chạy thật)</t>
        </is>
      </c>
      <c r="B34" s="122">
        <f>B28+B29+12*(B32+B33)</f>
        <v/>
      </c>
      <c r="C34" s="122">
        <f>C28+C29+12*(C32+C33)</f>
        <v/>
      </c>
      <c r="D34" s="122">
        <f>D28+D29+12*(D32+D33)</f>
        <v/>
      </c>
      <c r="E34" s="117" t="inlineStr"/>
      <c r="F34" s="117" t="inlineStr"/>
    </row>
    <row r="35">
      <c r="A35" s="117" t="inlineStr">
        <is>
          <t>Tổng năm đầu theo ba kịch bản cũ (2 dev, 2 / 3 / 4 tháng)</t>
        </is>
      </c>
      <c r="B35" s="125">
        <f>'Tổng hợp'!B34</f>
        <v/>
      </c>
      <c r="C35" s="125">
        <f>'Tổng hợp'!C34</f>
        <v/>
      </c>
      <c r="D35" s="125">
        <f>'Tổng hợp'!D34</f>
        <v/>
      </c>
      <c r="E35" s="117" t="inlineStr"/>
      <c r="F35" s="117" t="inlineStr">
        <is>
          <t>Sheet Tổng hợp</t>
        </is>
      </c>
    </row>
    <row r="36">
      <c r="A36" s="117" t="inlineStr">
        <is>
          <t>Giảm so với kịch bản cũ</t>
        </is>
      </c>
      <c r="B36" s="126">
        <f>1-B34/B35</f>
        <v/>
      </c>
      <c r="C36" s="126">
        <f>1-C34/C35</f>
        <v/>
      </c>
      <c r="D36" s="126">
        <f>1-D34/D35</f>
        <v/>
      </c>
      <c r="E36" s="117" t="inlineStr">
        <is>
          <t>%</t>
        </is>
      </c>
      <c r="F36" s="117" t="inlineStr"/>
    </row>
    <row r="37">
      <c r="A37" s="117" t="inlineStr">
        <is>
          <t>Chi phí mỗi tháng sau khi hoàn thiện</t>
        </is>
      </c>
      <c r="B37" s="122">
        <f>B32+B33</f>
        <v/>
      </c>
      <c r="C37" s="122">
        <f>C32+C33</f>
        <v/>
      </c>
      <c r="D37" s="122">
        <f>D32+D33</f>
        <v/>
      </c>
      <c r="E37" s="117" t="inlineStr"/>
      <c r="F37" s="117" t="inlineStr">
        <is>
          <t>Duy trì + hạ tầng</t>
        </is>
      </c>
    </row>
    <row r="38">
      <c r="A38" s="117" t="inlineStr">
        <is>
          <t>Mỗi tháng trễ mốc tốn thêm</t>
        </is>
      </c>
      <c r="B38" s="122">
        <f>(B28+B29)/B15</f>
        <v/>
      </c>
      <c r="C38" s="122">
        <f>(C28+C29)/C15</f>
        <v/>
      </c>
      <c r="D38" s="122">
        <f>(D28+D29)/D15</f>
        <v/>
      </c>
      <c r="E38" s="117" t="inlineStr"/>
      <c r="F38" s="117" t="inlineStr">
        <is>
          <t>(Phát triển + hạ tầng thử) ÷ tháng</t>
        </is>
      </c>
    </row>
    <row r="40">
      <c r="A40" s="116" t="inlineStr">
        <is>
          <t>4. Mốc theo mảnh</t>
        </is>
      </c>
      <c r="B40" s="116" t="inlineStr">
        <is>
          <t>Lạc quan</t>
        </is>
      </c>
      <c r="C40" s="116" t="inlineStr">
        <is>
          <t>Trung bình</t>
        </is>
      </c>
      <c r="D40" s="116" t="inlineStr">
        <is>
          <t>Tiêu cực</t>
        </is>
      </c>
      <c r="E40" s="116" t="inlineStr">
        <is>
          <t>Phiên ước</t>
        </is>
      </c>
      <c r="F40" s="116" t="inlineStr">
        <is>
          <t>Điều kiện quyết định thời gian</t>
        </is>
      </c>
    </row>
    <row r="41">
      <c r="A41" s="117" t="inlineStr">
        <is>
          <t>M1 code (38 phiên)</t>
        </is>
      </c>
      <c r="B41" s="117" t="inlineStr">
        <is>
          <t>06/10/2026</t>
        </is>
      </c>
      <c r="C41" s="117" t="inlineStr">
        <is>
          <t>06/10/2026</t>
        </is>
      </c>
      <c r="D41" s="117" t="inlineStr">
        <is>
          <t>07/10/2026</t>
        </is>
      </c>
      <c r="E41" s="117" t="n">
        <v>38</v>
      </c>
      <c r="F41" s="117" t="inlineStr">
        <is>
          <t>Còn 5 phiên; code không phải nút thắt</t>
        </is>
      </c>
    </row>
    <row r="42">
      <c r="A42" s="117" t="inlineStr">
        <is>
          <t>M1 chạy thật với đội VCparts</t>
        </is>
      </c>
      <c r="B42" s="117" t="inlineStr">
        <is>
          <t>15/10/2026</t>
        </is>
      </c>
      <c r="C42" s="117" t="inlineStr">
        <is>
          <t>26/10/2026</t>
        </is>
      </c>
      <c r="D42" s="117" t="inlineStr">
        <is>
          <t>02/11/2026</t>
        </is>
      </c>
      <c r="E42" s="117" t="n"/>
      <c r="F42" s="117" t="inlineStr">
        <is>
          <t>E2 nick công ty, E5 API VCsales, E6 thiết kế MH-SZ-15, E7 quyết định, E8 API key; chủ dự án thử tay 27 phiên ⛔ một phần; UAT</t>
        </is>
      </c>
    </row>
    <row r="43">
      <c r="A43" s="117" t="inlineStr">
        <is>
          <t>M3 · 360 đủ, hóa đơn, app điện thoại</t>
        </is>
      </c>
      <c r="B43" s="117" t="inlineStr">
        <is>
          <t>07/10 – 23/10</t>
        </is>
      </c>
      <c r="C43" s="117" t="inlineStr">
        <is>
          <t>12/10 – 06/11</t>
        </is>
      </c>
      <c r="D43" s="117" t="inlineStr">
        <is>
          <t>19/10 – 20/11</t>
        </is>
      </c>
      <c r="E43" s="117" t="n">
        <v>20</v>
      </c>
      <c r="F43" s="117" t="inlineStr">
        <is>
          <t>Code song song lúc chờ M1. API VCsales / VCinvoice / VCdms (TT-01, 05, 06), QĐ-01 app</t>
        </is>
      </c>
    </row>
    <row r="44">
      <c r="A44" s="117" t="inlineStr">
        <is>
          <t>M2 · phân luồng AI, giám sát, L6–L7</t>
        </is>
      </c>
      <c r="B44" s="117" t="inlineStr">
        <is>
          <t>26/10 – 06/11</t>
        </is>
      </c>
      <c r="C44" s="117" t="inlineStr">
        <is>
          <t>09/11 – 20/11</t>
        </is>
      </c>
      <c r="D44" s="117" t="inlineStr">
        <is>
          <t>23/11 – 11/12</t>
        </is>
      </c>
      <c r="E44" s="117" t="n">
        <v>16</v>
      </c>
      <c r="F44" s="117" t="inlineStr">
        <is>
          <t>Cần dữ liệu thật từ 2 tuần baseline sau M1; NĐ 13</t>
        </is>
      </c>
    </row>
    <row r="45">
      <c r="A45" s="117" t="inlineStr">
        <is>
          <t>M4 · 9 kênh còn lại</t>
        </is>
      </c>
      <c r="B45" s="117" t="inlineStr">
        <is>
          <t>02/11 – 13/11</t>
        </is>
      </c>
      <c r="C45" s="117" t="inlineStr">
        <is>
          <t>16/11 – 27/11</t>
        </is>
      </c>
      <c r="D45" s="117" t="inlineStr">
        <is>
          <t>07/12 – 31/12</t>
        </is>
      </c>
      <c r="E45" s="117" t="n">
        <v>38</v>
      </c>
      <c r="F45" s="117" t="inlineStr">
        <is>
          <t>Meta App Review (Fanpage) và Zalo OA Open API tạm tính 1 ngày; nộp tuần 05/10. Mỗi kênh cần tài khoản thật để thử</t>
        </is>
      </c>
    </row>
    <row r="46">
      <c r="A46" s="117" t="inlineStr">
        <is>
          <t>Hoàn thiện M4</t>
        </is>
      </c>
      <c r="B46" s="117" t="inlineStr">
        <is>
          <t>13/11/2026</t>
        </is>
      </c>
      <c r="C46" s="117" t="inlineStr">
        <is>
          <t>27/11/2026</t>
        </is>
      </c>
      <c r="D46" s="117" t="inlineStr">
        <is>
          <t>31/12/2026</t>
        </is>
      </c>
      <c r="E46" s="117" t="n">
        <v>112</v>
      </c>
      <c r="F46" s="117" t="inlineStr">
        <is>
          <t>So với kịch bản cũ: 03/12/2026 · 04/01/2027 · 03/02/2027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52" customWidth="1" style="57" min="1" max="1"/>
    <col width="17" customWidth="1" style="57" min="2" max="4"/>
    <col width="70" customWidth="1" style="57" min="5" max="5"/>
  </cols>
  <sheetData>
    <row r="1" ht="17.35" customHeight="1" s="58">
      <c r="A1" s="59" t="inlineStr">
        <is>
          <t>Tổng hợp chi phí — ba kịch bản</t>
        </is>
      </c>
    </row>
    <row r="2" ht="15" customHeight="1" s="58">
      <c r="A2" s="65" t="inlineStr">
        <is>
          <t>Phát triển = một lần. Duy trì và hạ tầng chạy thật = hằng tháng sau khi hoàn thiện. Năm đầu = phát triển + 12 tháng chạy thật.</t>
        </is>
      </c>
    </row>
    <row r="4" ht="15" customHeight="1" s="58">
      <c r="A4" s="66" t="inlineStr">
        <is>
          <t>Khoản (VNĐ)</t>
        </is>
      </c>
      <c r="B4" s="66" t="inlineStr">
        <is>
          <t>Lạc quan</t>
        </is>
      </c>
      <c r="C4" s="66" t="inlineStr">
        <is>
          <t>Trung bình</t>
        </is>
      </c>
      <c r="D4" s="66" t="inlineStr">
        <is>
          <t>Tiêu cực</t>
        </is>
      </c>
      <c r="E4" s="66" t="inlineStr">
        <is>
          <t>Cách tính</t>
        </is>
      </c>
    </row>
    <row r="5" ht="15" customHeight="1" s="58">
      <c r="A5" s="67" t="inlineStr">
        <is>
          <t>Thời gian hoàn thiện (tháng)</t>
        </is>
      </c>
      <c r="B5" s="68">
        <f>'Kịch bản'!$B$4</f>
        <v/>
      </c>
      <c r="C5" s="68">
        <f>'Kịch bản'!$C$4</f>
        <v/>
      </c>
      <c r="D5" s="68">
        <f>'Kịch bản'!$D$4</f>
        <v/>
      </c>
      <c r="E5" s="69" t="inlineStr">
        <is>
          <t>Sheet Kịch bản</t>
        </is>
      </c>
    </row>
    <row r="6" ht="15" customHeight="1" s="58">
      <c r="A6" s="67" t="inlineStr">
        <is>
          <t>M1 xong</t>
        </is>
      </c>
      <c r="B6" s="70">
        <f>'Tiến độ'!E14</f>
        <v/>
      </c>
      <c r="C6" s="70">
        <f>'Tiến độ'!H14</f>
        <v/>
      </c>
      <c r="D6" s="70">
        <f>'Tiến độ'!K14</f>
        <v/>
      </c>
      <c r="E6" s="69" t="inlineStr">
        <is>
          <t>Sheet Tiến độ</t>
        </is>
      </c>
    </row>
    <row r="7" ht="15" customHeight="1" s="58">
      <c r="A7" s="67" t="inlineStr">
        <is>
          <t>Hoàn thiện M4</t>
        </is>
      </c>
      <c r="B7" s="70">
        <f>'Tiến độ'!E12</f>
        <v/>
      </c>
      <c r="C7" s="70">
        <f>'Tiến độ'!H12</f>
        <v/>
      </c>
      <c r="D7" s="70">
        <f>'Tiến độ'!K12</f>
        <v/>
      </c>
      <c r="E7" s="69" t="inlineStr">
        <is>
          <t>Sheet Tiến độ</t>
        </is>
      </c>
    </row>
    <row r="8" ht="15" customHeight="1" s="58">
      <c r="A8" s="67" t="inlineStr">
        <is>
          <t>Tốc độ cần so với không dùng AI</t>
        </is>
      </c>
      <c r="B8" s="71">
        <f>'Tiến độ'!C15</f>
        <v/>
      </c>
      <c r="C8" s="71">
        <f>'Tiến độ'!F15</f>
        <v/>
      </c>
      <c r="D8" s="71">
        <f>'Tiến độ'!I15</f>
        <v/>
      </c>
      <c r="E8" s="69" t="inlineStr">
        <is>
          <t>Sheet Tiến độ</t>
        </is>
      </c>
    </row>
    <row r="10" ht="15" customHeight="1" s="58">
      <c r="A10" s="72" t="inlineStr">
        <is>
          <t>A. PHÁT TRIỂN (một lần)</t>
        </is>
      </c>
      <c r="B10" s="73" t="n"/>
      <c r="C10" s="73" t="n"/>
      <c r="D10" s="73" t="n"/>
      <c r="E10" s="73" t="n"/>
    </row>
    <row r="11" ht="15" customHeight="1" s="58">
      <c r="A11" s="67" t="inlineStr">
        <is>
          <t>Lương 2 dev</t>
        </is>
      </c>
      <c r="B11" s="74">
        <f>'Tham số'!$B$6*B5</f>
        <v/>
      </c>
      <c r="C11" s="74">
        <f>'Tham số'!$B$6*C5</f>
        <v/>
      </c>
      <c r="D11" s="74">
        <f>'Tham số'!$B$6*D5</f>
        <v/>
      </c>
      <c r="E11" s="69" t="inlineStr">
        <is>
          <t>Lương đội × tháng</t>
        </is>
      </c>
    </row>
    <row r="12" ht="15" customHeight="1" s="58">
      <c r="A12" s="67" t="inlineStr">
        <is>
          <t>BA</t>
        </is>
      </c>
      <c r="B12" s="74">
        <f>'Tham số'!$B$9*'Kịch bản'!$B$8*B5</f>
        <v/>
      </c>
      <c r="C12" s="74">
        <f>'Tham số'!$B$9*'Kịch bản'!$C$8*C5</f>
        <v/>
      </c>
      <c r="D12" s="74">
        <f>'Tham số'!$B$9*'Kịch bản'!$D$8*D5</f>
        <v/>
      </c>
      <c r="E12" s="69" t="inlineStr">
        <is>
          <t>Lương BA × % tham gia × tháng</t>
        </is>
      </c>
    </row>
    <row r="13" ht="15" customHeight="1" s="58">
      <c r="A13" s="67" t="inlineStr">
        <is>
          <t>Thiết kế giao diện</t>
        </is>
      </c>
      <c r="B13" s="74">
        <f>'Tham số'!$B$10*'Kịch bản'!$B$9*B5</f>
        <v/>
      </c>
      <c r="C13" s="74">
        <f>'Tham số'!$B$10*'Kịch bản'!$C$9*C5</f>
        <v/>
      </c>
      <c r="D13" s="74">
        <f>'Tham số'!$B$10*'Kịch bản'!$D$9*D5</f>
        <v/>
      </c>
      <c r="E13" s="69" t="inlineStr">
        <is>
          <t>Lương thiết kế × % tham gia × tháng</t>
        </is>
      </c>
    </row>
    <row r="14" ht="15" customHeight="1" s="58">
      <c r="A14" s="67" t="inlineStr">
        <is>
          <t>Claude Code Max</t>
        </is>
      </c>
      <c r="B14" s="74">
        <f>'Tham số'!$B$13*'Kịch bản'!$B$10*B5</f>
        <v/>
      </c>
      <c r="C14" s="74">
        <f>'Tham số'!$B$13*'Kịch bản'!$C$10*C5</f>
        <v/>
      </c>
      <c r="D14" s="74">
        <f>'Tham số'!$B$13*'Kịch bản'!$D$10*D5</f>
        <v/>
      </c>
      <c r="E14" s="69" t="inlineStr">
        <is>
          <t>Số suất × giá suất × tháng</t>
        </is>
      </c>
    </row>
    <row r="15" ht="15" customHeight="1" s="58">
      <c r="A15" s="75" t="inlineStr">
        <is>
          <t>Cộng phát triển</t>
        </is>
      </c>
      <c r="B15" s="76">
        <f>SUM(B11:B14)</f>
        <v/>
      </c>
      <c r="C15" s="76">
        <f>SUM(C11:C14)</f>
        <v/>
      </c>
      <c r="D15" s="76">
        <f>SUM(D11:D14)</f>
        <v/>
      </c>
      <c r="E15" s="77" t="n"/>
    </row>
    <row r="17" ht="15" customHeight="1" s="58">
      <c r="A17" s="72" t="inlineStr">
        <is>
          <t>B. DUY TRÌ (hằng tháng sau khi hoàn thiện)</t>
        </is>
      </c>
      <c r="B17" s="73" t="n"/>
      <c r="C17" s="73" t="n"/>
      <c r="D17" s="73" t="n"/>
      <c r="E17" s="73" t="n"/>
    </row>
    <row r="18" ht="15" customHeight="1" s="58">
      <c r="A18" s="67" t="inlineStr">
        <is>
          <t>Bảo trì (dev)</t>
        </is>
      </c>
      <c r="B18" s="74">
        <f>'Kịch bản'!$B$11*'Tham số'!$B$8</f>
        <v/>
      </c>
      <c r="C18" s="74">
        <f>'Kịch bản'!$C$11*'Tham số'!$B$8</f>
        <v/>
      </c>
      <c r="D18" s="74">
        <f>'Kịch bản'!$D$11*'Tham số'!$B$8</f>
        <v/>
      </c>
      <c r="E18" s="69" t="inlineStr">
        <is>
          <t>Ngày công bảo trì × đơn giá ngày dev</t>
        </is>
      </c>
    </row>
    <row r="19" ht="15" customHeight="1" s="58">
      <c r="A19" s="67" t="inlineStr">
        <is>
          <t>BA thu góp ý, yêu cầu thay đổi</t>
        </is>
      </c>
      <c r="B19" s="74">
        <f>'Tham số'!$B$9*'Kịch bản'!$B$12</f>
        <v/>
      </c>
      <c r="C19" s="74">
        <f>'Tham số'!$B$9*'Kịch bản'!$C$12</f>
        <v/>
      </c>
      <c r="D19" s="74">
        <f>'Tham số'!$B$9*'Kịch bản'!$D$12</f>
        <v/>
      </c>
      <c r="E19" s="69" t="inlineStr">
        <is>
          <t>Lương BA × % khi duy trì</t>
        </is>
      </c>
    </row>
    <row r="20" ht="15" customHeight="1" s="58">
      <c r="A20" s="67" t="inlineStr">
        <is>
          <t>Claude Code Max cho bảo trì</t>
        </is>
      </c>
      <c r="B20" s="74">
        <f>'Tham số'!$B$13*'Kịch bản'!$B$13</f>
        <v/>
      </c>
      <c r="C20" s="74">
        <f>'Tham số'!$B$13*'Kịch bản'!$C$13</f>
        <v/>
      </c>
      <c r="D20" s="74">
        <f>'Tham số'!$B$13*'Kịch bản'!$D$13</f>
        <v/>
      </c>
      <c r="E20" s="69" t="inlineStr">
        <is>
          <t>Số suất × giá suất</t>
        </is>
      </c>
    </row>
    <row r="21" ht="15" customHeight="1" s="58">
      <c r="A21" s="75" t="inlineStr">
        <is>
          <t>Cộng duy trì / tháng</t>
        </is>
      </c>
      <c r="B21" s="76">
        <f>SUM(B18:B20)</f>
        <v/>
      </c>
      <c r="C21" s="76">
        <f>SUM(C18:C20)</f>
        <v/>
      </c>
      <c r="D21" s="76">
        <f>SUM(D18:D20)</f>
        <v/>
      </c>
      <c r="E21" s="77" t="n"/>
    </row>
    <row r="23" ht="15" customHeight="1" s="58">
      <c r="A23" s="72" t="inlineStr">
        <is>
          <t>C. HẠ TẦNG</t>
        </is>
      </c>
      <c r="B23" s="73" t="n"/>
      <c r="C23" s="73" t="n"/>
      <c r="D23" s="73" t="n"/>
      <c r="E23" s="73" t="n"/>
    </row>
    <row r="24" ht="15" customHeight="1" s="58">
      <c r="A24" s="67" t="inlineStr">
        <is>
          <t>Cloud chạy thật / tháng</t>
        </is>
      </c>
      <c r="B24" s="74">
        <f>'Hạ tầng'!$B$15*'Kịch bản'!$B$14</f>
        <v/>
      </c>
      <c r="C24" s="74">
        <f>'Hạ tầng'!$B$15*'Kịch bản'!$C$14</f>
        <v/>
      </c>
      <c r="D24" s="74">
        <f>'Hạ tầng'!$B$15*'Kịch bản'!$D$14</f>
        <v/>
      </c>
      <c r="E24" s="69" t="inlineStr">
        <is>
          <t>Cloud chuẩn × hệ số cấu hình</t>
        </is>
      </c>
    </row>
    <row r="25" ht="15" customHeight="1" s="58">
      <c r="A25" s="67" t="inlineStr">
        <is>
          <t>Claude API / tháng (gợi ý + phân loại)</t>
        </is>
      </c>
      <c r="B25" s="74">
        <f>'Hạ tầng'!$B$30</f>
        <v/>
      </c>
      <c r="C25" s="74">
        <f>'Hạ tầng'!$B$30</f>
        <v/>
      </c>
      <c r="D25" s="74">
        <f>'Hạ tầng'!$B$30</f>
        <v/>
      </c>
      <c r="E25" s="69" t="inlineStr">
        <is>
          <t>Lưu lượng đã chốt — như nhau ở ba kịch bản</t>
        </is>
      </c>
    </row>
    <row r="26" ht="15" customHeight="1" s="58">
      <c r="A26" s="67" t="inlineStr">
        <is>
          <t>Zalo OA + ZNS / tháng</t>
        </is>
      </c>
      <c r="B26" s="74">
        <f>'Hạ tầng'!$B$34+'Hạ tầng'!$B$35</f>
        <v/>
      </c>
      <c r="C26" s="74">
        <f>'Hạ tầng'!$B$34+'Hạ tầng'!$B$35</f>
        <v/>
      </c>
      <c r="D26" s="74">
        <f>'Hạ tầng'!$B$34+'Hạ tầng'!$B$35</f>
        <v/>
      </c>
      <c r="E26" s="69" t="inlineStr">
        <is>
          <t>3 triệu/năm</t>
        </is>
      </c>
    </row>
    <row r="27" ht="15" customHeight="1" s="58">
      <c r="A27" s="75" t="inlineStr">
        <is>
          <t>Cộng hạ tầng chạy thật / tháng</t>
        </is>
      </c>
      <c r="B27" s="76">
        <f>SUM(B24:B26)</f>
        <v/>
      </c>
      <c r="C27" s="76">
        <f>SUM(C24:C26)</f>
        <v/>
      </c>
      <c r="D27" s="76">
        <f>SUM(D24:D26)</f>
        <v/>
      </c>
      <c r="E27" s="77" t="n"/>
    </row>
    <row r="28" ht="15" customHeight="1" s="58">
      <c r="A28" s="67" t="inlineStr">
        <is>
          <t>Hạ tầng trong giai đoạn phát triển (cả kỳ)</t>
        </is>
      </c>
      <c r="B28" s="74">
        <f>B24*'Hạ tầng'!$B$16*B5</f>
        <v/>
      </c>
      <c r="C28" s="74">
        <f>C24*'Hạ tầng'!$B$16*C5</f>
        <v/>
      </c>
      <c r="D28" s="74">
        <f>D24*'Hạ tầng'!$B$16*D5</f>
        <v/>
      </c>
      <c r="E28" s="69" t="inlineStr">
        <is>
          <t>Cloud chạy thật × % môi trường thử × tháng</t>
        </is>
      </c>
    </row>
    <row r="30" ht="15" customHeight="1" s="58">
      <c r="A30" s="72" t="inlineStr">
        <is>
          <t>D. TỔNG</t>
        </is>
      </c>
      <c r="B30" s="73" t="n"/>
      <c r="C30" s="73" t="n"/>
      <c r="D30" s="73" t="n"/>
      <c r="E30" s="73" t="n"/>
    </row>
    <row r="31" ht="15" customHeight="1" s="58">
      <c r="A31" s="67" t="inlineStr">
        <is>
          <t>Phát triển</t>
        </is>
      </c>
      <c r="B31" s="74">
        <f>B15</f>
        <v/>
      </c>
      <c r="C31" s="74">
        <f>C15</f>
        <v/>
      </c>
      <c r="D31" s="74">
        <f>D15</f>
        <v/>
      </c>
      <c r="E31" s="69" t="inlineStr">
        <is>
          <t>Mục A</t>
        </is>
      </c>
    </row>
    <row r="32" ht="15" customHeight="1" s="58">
      <c r="A32" s="67" t="inlineStr">
        <is>
          <t>Duy trì năm đầu (12 tháng)</t>
        </is>
      </c>
      <c r="B32" s="74">
        <f>B21*12</f>
        <v/>
      </c>
      <c r="C32" s="74">
        <f>C21*12</f>
        <v/>
      </c>
      <c r="D32" s="74">
        <f>D21*12</f>
        <v/>
      </c>
      <c r="E32" s="69" t="inlineStr">
        <is>
          <t>Mục B × 12</t>
        </is>
      </c>
    </row>
    <row r="33" ht="15" customHeight="1" s="58">
      <c r="A33" s="67" t="inlineStr">
        <is>
          <t>Hạ tầng năm đầu</t>
        </is>
      </c>
      <c r="B33" s="74">
        <f>B28+B27*12</f>
        <v/>
      </c>
      <c r="C33" s="74">
        <f>C28+C27*12</f>
        <v/>
      </c>
      <c r="D33" s="74">
        <f>D28+D27*12</f>
        <v/>
      </c>
      <c r="E33" s="69" t="inlineStr">
        <is>
          <t>Giai đoạn phát triển + 12 tháng chạy thật</t>
        </is>
      </c>
    </row>
    <row r="34" ht="15" customHeight="1" s="58">
      <c r="A34" s="75" t="inlineStr">
        <is>
          <t>TỔNG NĂM ĐẦU</t>
        </is>
      </c>
      <c r="B34" s="76">
        <f>SUM(B31:B33)</f>
        <v/>
      </c>
      <c r="C34" s="76">
        <f>SUM(C31:C33)</f>
        <v/>
      </c>
      <c r="D34" s="76">
        <f>SUM(D31:D33)</f>
        <v/>
      </c>
      <c r="E34" s="77" t="inlineStr">
        <is>
          <t>Phát triển + 12 tháng chạy thật</t>
        </is>
      </c>
    </row>
    <row r="36" ht="15" customHeight="1" s="58">
      <c r="A36" s="78" t="inlineStr">
        <is>
          <t>Chi phí mỗi tháng sau khi hoàn thiện</t>
        </is>
      </c>
      <c r="B36" s="79">
        <f>B21+B27</f>
        <v/>
      </c>
      <c r="C36" s="79">
        <f>C21+C27</f>
        <v/>
      </c>
      <c r="D36" s="79">
        <f>D21+D27</f>
        <v/>
      </c>
      <c r="E36" s="69" t="inlineStr">
        <is>
          <t>Duy trì + hạ tầng</t>
        </is>
      </c>
    </row>
    <row r="37" ht="15" customHeight="1" s="58">
      <c r="A37" s="67" t="inlineStr">
        <is>
          <t>Bình quân mỗi người dùng / tháng</t>
        </is>
      </c>
      <c r="B37" s="74">
        <f>IF('Hạ tầng'!$B$19=0,0,B36/'Hạ tầng'!$B$19)</f>
        <v/>
      </c>
      <c r="C37" s="74">
        <f>IF('Hạ tầng'!$B$19=0,0,C36/'Hạ tầng'!$B$19)</f>
        <v/>
      </c>
      <c r="D37" s="74">
        <f>IF('Hạ tầng'!$B$19=0,0,D36/'Hạ tầng'!$B$19)</f>
        <v/>
      </c>
      <c r="E37" s="69" t="inlineStr">
        <is>
          <t>30 người dùng</t>
        </is>
      </c>
    </row>
    <row r="38" ht="15" customHeight="1" s="58">
      <c r="A38" s="67" t="inlineStr">
        <is>
          <t>Mỗi tháng trễ mốc tốn thêm</t>
        </is>
      </c>
      <c r="B38" s="74">
        <f>IF(B5=0,0,(B15+B28)/B5)</f>
        <v/>
      </c>
      <c r="C38" s="74">
        <f>IF(C5=0,0,(C15+C28)/C5)</f>
        <v/>
      </c>
      <c r="D38" s="74">
        <f>IF(D5=0,0,(D15+D28)/D5)</f>
        <v/>
      </c>
      <c r="E38" s="69" t="inlineStr">
        <is>
          <t>Chi phí phát triển + hạ tầng thử, chia theo tháng</t>
        </is>
      </c>
    </row>
    <row r="40" ht="15" customHeight="1" s="58">
      <c r="A40" s="72" t="inlineStr">
        <is>
          <t>Tham chiếu: làm theo cách thông thường, không dùng AI (2 dev)</t>
        </is>
      </c>
      <c r="B40" s="73" t="n"/>
      <c r="C40" s="73" t="n"/>
      <c r="D40" s="73" t="n"/>
      <c r="E40" s="73" t="n"/>
    </row>
    <row r="41" ht="15" customHeight="1" s="58">
      <c r="A41" s="67" t="inlineStr">
        <is>
          <t>Thời gian (tháng)</t>
        </is>
      </c>
      <c r="B41" s="80" t="n"/>
      <c r="C41" s="81">
        <f>'Khối lượng'!J70/('Tham số'!$B$7*'Tham số'!$B$5)</f>
        <v/>
      </c>
      <c r="D41" s="80" t="n"/>
      <c r="E41" s="82" t="inlineStr">
        <is>
          <t>Khối lượng ước lượng ÷ (2 dev × 22 ngày)</t>
        </is>
      </c>
    </row>
    <row r="42" ht="15" customHeight="1" s="58">
      <c r="A42" s="67" t="inlineStr">
        <is>
          <t>Chi phí phát triển</t>
        </is>
      </c>
      <c r="B42" s="80" t="n"/>
      <c r="C42" s="83">
        <f>('Tham số'!$B$6+'Tham số'!$B$9*'Kịch bản'!$C$8+'Tham số'!$B$10*'Kịch bản'!$C$9)*C41</f>
        <v/>
      </c>
      <c r="D42" s="80" t="n"/>
      <c r="E42" s="82" t="inlineStr">
        <is>
          <t>(Lương dev + BA, thiết kế theo mức Trung bình) × thời gian; không có gói Claude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58" customWidth="1" style="57" min="1" max="1"/>
    <col width="16" customWidth="1" style="57" min="2" max="2"/>
    <col width="10" customWidth="1" style="57" min="3" max="3"/>
    <col width="12" customWidth="1" style="57" min="4" max="5"/>
    <col width="10" customWidth="1" style="57" min="6" max="6"/>
    <col width="12" customWidth="1" style="57" min="7" max="8"/>
    <col width="10" customWidth="1" style="57" min="9" max="9"/>
    <col width="12" customWidth="1" style="57" min="10" max="11"/>
  </cols>
  <sheetData>
    <row r="1" ht="17.35" customHeight="1" s="58">
      <c r="A1" s="59" t="inlineStr">
        <is>
          <t>Timeline M1a → M4 theo ba kịch bản</t>
        </is>
      </c>
    </row>
    <row r="2" ht="15" customHeight="1" s="58">
      <c r="A2" s="65" t="inlineStr">
        <is>
          <t>Ngày làm việc thứ Hai – thứ Sáu. Thứ tự: M1 (chỉ Zalo cá nhân) → M3 → M2 → M4 (các kênh khác). M1a và Khách hàng 360 theo số ngày ở sheet Kịch bản. M4 = số lượt kênh (2 dev làm song song) × ngày mỗi kênh. Thời gian còn lại chia cho M1b, M1c, M3, M2 theo tỷ lệ khối lượng ước lượng.</t>
        </is>
      </c>
    </row>
    <row r="3" ht="15" customHeight="1" s="58">
      <c r="A3" s="60" t="inlineStr">
        <is>
          <t>Bắt đầu</t>
        </is>
      </c>
      <c r="B3" s="84">
        <f>'Tham số'!$B$4</f>
        <v/>
      </c>
    </row>
    <row r="5" ht="52.2" customHeight="1" s="58">
      <c r="A5" s="66" t="inlineStr">
        <is>
          <t>Mảnh</t>
        </is>
      </c>
      <c r="B5" s="66" t="inlineStr">
        <is>
          <t>Khối lượng ước lượng (ngày công, không AI)</t>
        </is>
      </c>
      <c r="C5" s="66" t="inlineStr">
        <is>
          <t>Lạc quan: ngày</t>
        </is>
      </c>
      <c r="D5" s="66" t="inlineStr">
        <is>
          <t>Bắt đầu</t>
        </is>
      </c>
      <c r="E5" s="66" t="inlineStr">
        <is>
          <t>Kết thúc</t>
        </is>
      </c>
      <c r="F5" s="66" t="inlineStr">
        <is>
          <t>Trung bình: ngày</t>
        </is>
      </c>
      <c r="G5" s="66" t="inlineStr">
        <is>
          <t>Bắt đầu</t>
        </is>
      </c>
      <c r="H5" s="66" t="inlineStr">
        <is>
          <t>Kết thúc</t>
        </is>
      </c>
      <c r="I5" s="66" t="inlineStr">
        <is>
          <t>Tiêu cực: ngày</t>
        </is>
      </c>
      <c r="J5" s="66" t="inlineStr">
        <is>
          <t>Bắt đầu</t>
        </is>
      </c>
      <c r="K5" s="66" t="inlineStr">
        <is>
          <t>Kết thúc</t>
        </is>
      </c>
    </row>
    <row r="6" ht="15" customHeight="1" s="58">
      <c r="A6" s="67" t="inlineStr">
        <is>
          <t>M1a — Zalo cá nhân (máy chủ, danh bạ)</t>
        </is>
      </c>
      <c r="B6" s="85">
        <f>'Khối lượng'!J9</f>
        <v/>
      </c>
      <c r="C6" s="86">
        <f>'Kịch bản'!$B$6</f>
        <v/>
      </c>
      <c r="D6" s="87">
        <f>WORKDAY($B$3-1,1)</f>
        <v/>
      </c>
      <c r="E6" s="87">
        <f>WORKDAY(D6,C6-1)</f>
        <v/>
      </c>
      <c r="F6" s="86">
        <f>'Kịch bản'!$C$6</f>
        <v/>
      </c>
      <c r="G6" s="87">
        <f>WORKDAY($B$3-1,1)</f>
        <v/>
      </c>
      <c r="H6" s="87">
        <f>WORKDAY(G6,F6-1)</f>
        <v/>
      </c>
      <c r="I6" s="86">
        <f>'Kịch bản'!$D$6</f>
        <v/>
      </c>
      <c r="J6" s="87">
        <f>WORKDAY($B$3-1,1)</f>
        <v/>
      </c>
      <c r="K6" s="87">
        <f>WORKDAY(J6,I6-1)</f>
        <v/>
      </c>
    </row>
    <row r="7" ht="15" customHeight="1" s="58">
      <c r="A7" s="67" t="inlineStr">
        <is>
          <t>M1b — Tổ chức, khách, 360 cơ bản · Zalo cá nhân</t>
        </is>
      </c>
      <c r="B7" s="85">
        <f>'Khối lượng'!J18</f>
        <v/>
      </c>
      <c r="C7" s="86">
        <f>ROUND(('Kịch bản'!$B$5-C$6-C$11)*B7/SUM($B$7:$B$10),0)</f>
        <v/>
      </c>
      <c r="D7" s="87">
        <f>WORKDAY(E6,1)</f>
        <v/>
      </c>
      <c r="E7" s="87">
        <f>WORKDAY(D7,C7-1)</f>
        <v/>
      </c>
      <c r="F7" s="86">
        <f>ROUND(('Kịch bản'!$C$5-F$6-F$11)*B7/SUM($B$7:$B$10),0)</f>
        <v/>
      </c>
      <c r="G7" s="87">
        <f>WORKDAY(H6,1)</f>
        <v/>
      </c>
      <c r="H7" s="87">
        <f>WORKDAY(G7,F7-1)</f>
        <v/>
      </c>
      <c r="I7" s="86">
        <f>ROUND(('Kịch bản'!$D$5-I$6-I$11)*B7/SUM($B$7:$B$10),0)</f>
        <v/>
      </c>
      <c r="J7" s="87">
        <f>WORKDAY(K6,1)</f>
        <v/>
      </c>
      <c r="K7" s="87">
        <f>WORKDAY(J7,I7-1)</f>
        <v/>
      </c>
    </row>
    <row r="8" ht="15" customHeight="1" s="58">
      <c r="A8" s="67" t="inlineStr">
        <is>
          <t>M1c — Bán hàng trong chat · Zalo cá nhân L4–L5</t>
        </is>
      </c>
      <c r="B8" s="85">
        <f>'Khối lượng'!J26</f>
        <v/>
      </c>
      <c r="C8" s="86">
        <f>ROUND(('Kịch bản'!$B$5-C$6-C$11)*B8/SUM($B$7:$B$10),0)</f>
        <v/>
      </c>
      <c r="D8" s="87">
        <f>WORKDAY(E7,1)</f>
        <v/>
      </c>
      <c r="E8" s="87">
        <f>WORKDAY(D8,C8-1)</f>
        <v/>
      </c>
      <c r="F8" s="86">
        <f>ROUND(('Kịch bản'!$C$5-F$6-F$11)*B8/SUM($B$7:$B$10),0)</f>
        <v/>
      </c>
      <c r="G8" s="87">
        <f>WORKDAY(H7,1)</f>
        <v/>
      </c>
      <c r="H8" s="87">
        <f>WORKDAY(G8,F8-1)</f>
        <v/>
      </c>
      <c r="I8" s="86">
        <f>ROUND(('Kịch bản'!$D$5-I$6-I$11)*B8/SUM($B$7:$B$10),0)</f>
        <v/>
      </c>
      <c r="J8" s="87">
        <f>WORKDAY(K7,1)</f>
        <v/>
      </c>
      <c r="K8" s="87">
        <f>WORKDAY(J8,I8-1)</f>
        <v/>
      </c>
    </row>
    <row r="9" ht="15" customHeight="1" s="58">
      <c r="A9" s="67" t="inlineStr">
        <is>
          <t>M3 — 360 đủ, hóa đơn, app điện thoại · Zalo cá nhân</t>
        </is>
      </c>
      <c r="B9" s="85">
        <f>'Khối lượng'!J34</f>
        <v/>
      </c>
      <c r="C9" s="86">
        <f>ROUND(('Kịch bản'!$B$5-C$6-C$11)*B9/SUM($B$7:$B$10),0)</f>
        <v/>
      </c>
      <c r="D9" s="87">
        <f>WORKDAY(E8,1)</f>
        <v/>
      </c>
      <c r="E9" s="87">
        <f>WORKDAY(D9,C9-1)</f>
        <v/>
      </c>
      <c r="F9" s="86">
        <f>ROUND(('Kịch bản'!$C$5-F$6-F$11)*B9/SUM($B$7:$B$10),0)</f>
        <v/>
      </c>
      <c r="G9" s="87">
        <f>WORKDAY(H8,1)</f>
        <v/>
      </c>
      <c r="H9" s="87">
        <f>WORKDAY(G9,F9-1)</f>
        <v/>
      </c>
      <c r="I9" s="86">
        <f>ROUND(('Kịch bản'!$D$5-I$6-I$11)*B9/SUM($B$7:$B$10),0)</f>
        <v/>
      </c>
      <c r="J9" s="87">
        <f>WORKDAY(K8,1)</f>
        <v/>
      </c>
      <c r="K9" s="87">
        <f>WORKDAY(J9,I9-1)</f>
        <v/>
      </c>
    </row>
    <row r="10" ht="15" customHeight="1" s="58">
      <c r="A10" s="67" t="inlineStr">
        <is>
          <t>M2 — Phân luồng AI, giám sát · Zalo cá nhân L6–L7</t>
        </is>
      </c>
      <c r="B10" s="85">
        <f>'Khối lượng'!J44</f>
        <v/>
      </c>
      <c r="C10" s="86">
        <f>'Kịch bản'!$B$5-C6-SUM(C7:C9)-C11</f>
        <v/>
      </c>
      <c r="D10" s="87">
        <f>WORKDAY(E9,1)</f>
        <v/>
      </c>
      <c r="E10" s="87">
        <f>WORKDAY(D10,C10-1)</f>
        <v/>
      </c>
      <c r="F10" s="86">
        <f>'Kịch bản'!$C$5-F6-SUM(F7:F9)-F11</f>
        <v/>
      </c>
      <c r="G10" s="87">
        <f>WORKDAY(H9,1)</f>
        <v/>
      </c>
      <c r="H10" s="87">
        <f>WORKDAY(G10,F10-1)</f>
        <v/>
      </c>
      <c r="I10" s="86">
        <f>'Kịch bản'!$D$5-I6-SUM(I7:I9)-I11</f>
        <v/>
      </c>
      <c r="J10" s="87">
        <f>WORKDAY(K9,1)</f>
        <v/>
      </c>
      <c r="K10" s="87">
        <f>WORKDAY(J10,I10-1)</f>
        <v/>
      </c>
    </row>
    <row r="11" ht="15" customHeight="1" s="58">
      <c r="A11" s="67" t="inlineStr">
        <is>
          <t>M4 — Các kênh khác, mỗi kênh 4 ngày, 2 dev song song</t>
        </is>
      </c>
      <c r="B11" s="85">
        <f>'Khối lượng'!J68</f>
        <v/>
      </c>
      <c r="C11" s="86">
        <f>ROUNDUP('Kịch bản'!$B$16/'Tham số'!$B$7,0)*'Kịch bản'!$B$15</f>
        <v/>
      </c>
      <c r="D11" s="87">
        <f>WORKDAY(E10,1)</f>
        <v/>
      </c>
      <c r="E11" s="87">
        <f>WORKDAY(D11,C11-1)</f>
        <v/>
      </c>
      <c r="F11" s="86">
        <f>ROUNDUP('Kịch bản'!$C$16/'Tham số'!$B$7,0)*'Kịch bản'!$C$15</f>
        <v/>
      </c>
      <c r="G11" s="87">
        <f>WORKDAY(H10,1)</f>
        <v/>
      </c>
      <c r="H11" s="87">
        <f>WORKDAY(G11,F11-1)</f>
        <v/>
      </c>
      <c r="I11" s="86">
        <f>ROUNDUP('Kịch bản'!$D$16/'Tham số'!$B$7,0)*'Kịch bản'!$D$15</f>
        <v/>
      </c>
      <c r="J11" s="87">
        <f>WORKDAY(K10,1)</f>
        <v/>
      </c>
      <c r="K11" s="87">
        <f>WORKDAY(J11,I11-1)</f>
        <v/>
      </c>
    </row>
    <row r="12" ht="15" customHeight="1" s="58">
      <c r="A12" s="75" t="inlineStr">
        <is>
          <t>Cộng / hoàn thành</t>
        </is>
      </c>
      <c r="B12" s="88">
        <f>SUM(B6:B11)</f>
        <v/>
      </c>
      <c r="C12" s="89">
        <f>SUM(C6:C11)</f>
        <v/>
      </c>
      <c r="D12" s="90" t="n"/>
      <c r="E12" s="91">
        <f>E11</f>
        <v/>
      </c>
      <c r="F12" s="89">
        <f>SUM(F6:F11)</f>
        <v/>
      </c>
      <c r="G12" s="90" t="n"/>
      <c r="H12" s="91">
        <f>H11</f>
        <v/>
      </c>
      <c r="I12" s="89">
        <f>SUM(I6:I11)</f>
        <v/>
      </c>
      <c r="J12" s="90" t="n"/>
      <c r="K12" s="91">
        <f>K11</f>
        <v/>
      </c>
    </row>
    <row r="13" ht="15" customHeight="1" s="58">
      <c r="A13" s="65" t="inlineStr">
        <is>
          <t>Trong đó Khách hàng 360 (thuộc M1b)</t>
        </is>
      </c>
      <c r="C13" s="92">
        <f>'Kịch bản'!$B$7</f>
        <v/>
      </c>
      <c r="F13" s="92">
        <f>'Kịch bản'!$C$7</f>
        <v/>
      </c>
      <c r="I13" s="92">
        <f>'Kịch bản'!$D$7</f>
        <v/>
      </c>
    </row>
    <row r="14" ht="15" customHeight="1" s="58">
      <c r="A14" s="60" t="inlineStr">
        <is>
          <t>M1 xong (chạy thật cho đội VCparts)</t>
        </is>
      </c>
      <c r="E14" s="93">
        <f>E8</f>
        <v/>
      </c>
      <c r="H14" s="93">
        <f>H8</f>
        <v/>
      </c>
      <c r="K14" s="93">
        <f>K8</f>
        <v/>
      </c>
    </row>
    <row r="15" ht="15" customHeight="1" s="58">
      <c r="A15" s="60" t="inlineStr">
        <is>
          <t>Tốc độ cần so với không dùng AI (cả kỳ)</t>
        </is>
      </c>
      <c r="C15" s="94">
        <f>IF(C12=0,0,$B$12/(C12*'Tham số'!$B$7))</f>
        <v/>
      </c>
      <c r="F15" s="94">
        <f>IF(F12=0,0,$B$12/(F12*'Tham số'!$B$7))</f>
        <v/>
      </c>
      <c r="I15" s="94">
        <f>IF(I12=0,0,$B$12/(I12*'Tham số'!$B$7))</f>
        <v/>
      </c>
    </row>
    <row r="16" ht="15" customHeight="1" s="58">
      <c r="A16" s="60" t="inlineStr">
        <is>
          <t>Tốc độ cần: M1 → M2 (phần Zalo cá nhân, gồm M1a)</t>
        </is>
      </c>
      <c r="C16" s="94">
        <f>IF(SUM(C7:C10)=0,0,(SUM($B$7:$B$10)+$B$6)/((SUM(C7:C10)+C6)*'Tham số'!$B$7))</f>
        <v/>
      </c>
      <c r="F16" s="94">
        <f>IF(SUM(F7:F10)=0,0,(SUM($B$7:$B$10)+$B$6)/((SUM(F7:F10)+F6)*'Tham số'!$B$7))</f>
        <v/>
      </c>
      <c r="I16" s="94">
        <f>IF(SUM(I7:I10)=0,0,(SUM($B$7:$B$10)+$B$6)/((SUM(I7:I10)+I6)*'Tham số'!$B$7))</f>
        <v/>
      </c>
    </row>
    <row r="17">
      <c r="A17" s="60" t="inlineStr">
        <is>
          <t>Tốc độ cần: M4 (các kênh)</t>
        </is>
      </c>
      <c r="C17" s="94">
        <f>IF(C11=0,0,$B$11/(C11*'Tham số'!$B$7))</f>
        <v/>
      </c>
      <c r="F17" s="94">
        <f>IF(F11=0,0,$B$11/(F11*'Tham số'!$B$7))</f>
        <v/>
      </c>
      <c r="I17" s="94">
        <f>IF(I11=0,0,$B$11/(I11*'Tham số'!$B$7))</f>
        <v/>
      </c>
    </row>
    <row r="18">
      <c r="A18" s="65" t="inlineStr">
        <is>
          <t>Tốc độ cần = khối lượng ước lượng ÷ (ngày làm việc × số dev). Đo tốc độ thật sau M1a để kiểm chứng; các mảnh phụ thuộc bên ngoài (API VCsales, App Review Meta, baseline 2 tuần) không rút ngắn được bằng tốc độ code. M4 dồn mọi việc của kênh (kết nối, nhận/gửi, chatbot, chiến dịch, báo cáo kênh) vào 4 ngày mỗi kênh nên tốc độ cần ở M4 cao nhất.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57" min="1" max="1"/>
    <col width="10" customWidth="1" style="57" min="2" max="7"/>
    <col width="12" customWidth="1" style="57" min="8" max="8"/>
    <col width="10" customWidth="1" style="57" min="9" max="9"/>
  </cols>
  <sheetData>
    <row r="1" ht="17.35" customHeight="1" s="58">
      <c r="A1" s="59" t="inlineStr">
        <is>
          <t>Khối lượng theo kênh (BA tổng Phần II) × mảnh — ngày công ước lượng, không AI</t>
        </is>
      </c>
    </row>
    <row r="2" ht="15" customHeight="1" s="58">
      <c r="A2" s="65" t="inlineStr">
        <is>
          <t>Tự cộng từ sheet Khối lượng theo cột Kênh và Mảnh.</t>
        </is>
      </c>
    </row>
    <row r="4" ht="15" customHeight="1" s="58">
      <c r="A4" s="66" t="inlineStr">
        <is>
          <t>Kênh</t>
        </is>
      </c>
      <c r="B4" s="66" t="inlineStr">
        <is>
          <t>M1a</t>
        </is>
      </c>
      <c r="C4" s="66" t="inlineStr">
        <is>
          <t>M1b</t>
        </is>
      </c>
      <c r="D4" s="66" t="inlineStr">
        <is>
          <t>M1c</t>
        </is>
      </c>
      <c r="E4" s="66" t="inlineStr">
        <is>
          <t>M3</t>
        </is>
      </c>
      <c r="F4" s="66" t="inlineStr">
        <is>
          <t>M2</t>
        </is>
      </c>
      <c r="G4" s="66" t="inlineStr">
        <is>
          <t>M4</t>
        </is>
      </c>
      <c r="H4" s="66" t="inlineStr">
        <is>
          <t>Cộng</t>
        </is>
      </c>
      <c r="I4" s="66" t="inlineStr">
        <is>
          <t>Tỷ trọng</t>
        </is>
      </c>
    </row>
    <row r="5" ht="15" customHeight="1" s="58">
      <c r="A5" s="67" t="inlineStr">
        <is>
          <t>Nền tảng chung</t>
        </is>
      </c>
      <c r="B5" s="95">
        <f>SUMIFS('Khối lượng'!$J$4:$J$68,'Khối lượng'!$A$4:$A$68,"M1a",'Khối lượng'!$B$4:$B$68,$A5)</f>
        <v/>
      </c>
      <c r="C5" s="95">
        <f>SUMIFS('Khối lượng'!$J$4:$J$68,'Khối lượng'!$A$4:$A$68,"M1b",'Khối lượng'!$B$4:$B$68,$A5)</f>
        <v/>
      </c>
      <c r="D5" s="95">
        <f>SUMIFS('Khối lượng'!$J$4:$J$68,'Khối lượng'!$A$4:$A$68,"M1c",'Khối lượng'!$B$4:$B$68,$A5)</f>
        <v/>
      </c>
      <c r="E5" s="95">
        <f>SUMIFS('Khối lượng'!$J$4:$J$68,'Khối lượng'!$A$4:$A$68,"M3",'Khối lượng'!$B$4:$B$68,$A5)</f>
        <v/>
      </c>
      <c r="F5" s="95">
        <f>SUMIFS('Khối lượng'!$J$4:$J$68,'Khối lượng'!$A$4:$A$68,"M2",'Khối lượng'!$B$4:$B$68,$A5)</f>
        <v/>
      </c>
      <c r="G5" s="95">
        <f>SUMIFS('Khối lượng'!$J$4:$J$68,'Khối lượng'!$A$4:$A$68,"M4",'Khối lượng'!$B$4:$B$68,$A5)</f>
        <v/>
      </c>
      <c r="H5" s="95">
        <f>SUM(B5:G5)</f>
        <v/>
      </c>
      <c r="I5" s="96">
        <f>IF($H$12=0,0,H5/$H$12)</f>
        <v/>
      </c>
    </row>
    <row r="6" ht="15" customHeight="1" s="58">
      <c r="A6" s="67" t="inlineStr">
        <is>
          <t>11 Zalo cá nhân</t>
        </is>
      </c>
      <c r="B6" s="95">
        <f>SUMIFS('Khối lượng'!$J$4:$J$68,'Khối lượng'!$A$4:$A$68,"M1a",'Khối lượng'!$B$4:$B$68,$A6)</f>
        <v/>
      </c>
      <c r="C6" s="95">
        <f>SUMIFS('Khối lượng'!$J$4:$J$68,'Khối lượng'!$A$4:$A$68,"M1b",'Khối lượng'!$B$4:$B$68,$A6)</f>
        <v/>
      </c>
      <c r="D6" s="95">
        <f>SUMIFS('Khối lượng'!$J$4:$J$68,'Khối lượng'!$A$4:$A$68,"M1c",'Khối lượng'!$B$4:$B$68,$A6)</f>
        <v/>
      </c>
      <c r="E6" s="95">
        <f>SUMIFS('Khối lượng'!$J$4:$J$68,'Khối lượng'!$A$4:$A$68,"M3",'Khối lượng'!$B$4:$B$68,$A6)</f>
        <v/>
      </c>
      <c r="F6" s="95">
        <f>SUMIFS('Khối lượng'!$J$4:$J$68,'Khối lượng'!$A$4:$A$68,"M2",'Khối lượng'!$B$4:$B$68,$A6)</f>
        <v/>
      </c>
      <c r="G6" s="95">
        <f>SUMIFS('Khối lượng'!$J$4:$J$68,'Khối lượng'!$A$4:$A$68,"M4",'Khối lượng'!$B$4:$B$68,$A6)</f>
        <v/>
      </c>
      <c r="H6" s="95">
        <f>SUM(B6:G6)</f>
        <v/>
      </c>
      <c r="I6" s="96">
        <f>IF($H$12=0,0,H6/$H$12)</f>
        <v/>
      </c>
    </row>
    <row r="7" ht="15" customHeight="1" s="58">
      <c r="A7" s="67" t="inlineStr">
        <is>
          <t>12 Facebook cá nhân</t>
        </is>
      </c>
      <c r="B7" s="95">
        <f>SUMIFS('Khối lượng'!$J$4:$J$68,'Khối lượng'!$A$4:$A$68,"M1a",'Khối lượng'!$B$4:$B$68,$A7)</f>
        <v/>
      </c>
      <c r="C7" s="95">
        <f>SUMIFS('Khối lượng'!$J$4:$J$68,'Khối lượng'!$A$4:$A$68,"M1b",'Khối lượng'!$B$4:$B$68,$A7)</f>
        <v/>
      </c>
      <c r="D7" s="95">
        <f>SUMIFS('Khối lượng'!$J$4:$J$68,'Khối lượng'!$A$4:$A$68,"M1c",'Khối lượng'!$B$4:$B$68,$A7)</f>
        <v/>
      </c>
      <c r="E7" s="95">
        <f>SUMIFS('Khối lượng'!$J$4:$J$68,'Khối lượng'!$A$4:$A$68,"M3",'Khối lượng'!$B$4:$B$68,$A7)</f>
        <v/>
      </c>
      <c r="F7" s="95">
        <f>SUMIFS('Khối lượng'!$J$4:$J$68,'Khối lượng'!$A$4:$A$68,"M2",'Khối lượng'!$B$4:$B$68,$A7)</f>
        <v/>
      </c>
      <c r="G7" s="95">
        <f>SUMIFS('Khối lượng'!$J$4:$J$68,'Khối lượng'!$A$4:$A$68,"M4",'Khối lượng'!$B$4:$B$68,$A7)</f>
        <v/>
      </c>
      <c r="H7" s="95">
        <f>SUM(B7:G7)</f>
        <v/>
      </c>
      <c r="I7" s="96">
        <f>IF($H$12=0,0,H7/$H$12)</f>
        <v/>
      </c>
    </row>
    <row r="8" ht="15" customHeight="1" s="58">
      <c r="A8" s="67" t="inlineStr">
        <is>
          <t>13 Zalo OA</t>
        </is>
      </c>
      <c r="B8" s="95">
        <f>SUMIFS('Khối lượng'!$J$4:$J$68,'Khối lượng'!$A$4:$A$68,"M1a",'Khối lượng'!$B$4:$B$68,$A8)</f>
        <v/>
      </c>
      <c r="C8" s="95">
        <f>SUMIFS('Khối lượng'!$J$4:$J$68,'Khối lượng'!$A$4:$A$68,"M1b",'Khối lượng'!$B$4:$B$68,$A8)</f>
        <v/>
      </c>
      <c r="D8" s="95">
        <f>SUMIFS('Khối lượng'!$J$4:$J$68,'Khối lượng'!$A$4:$A$68,"M1c",'Khối lượng'!$B$4:$B$68,$A8)</f>
        <v/>
      </c>
      <c r="E8" s="95">
        <f>SUMIFS('Khối lượng'!$J$4:$J$68,'Khối lượng'!$A$4:$A$68,"M3",'Khối lượng'!$B$4:$B$68,$A8)</f>
        <v/>
      </c>
      <c r="F8" s="95">
        <f>SUMIFS('Khối lượng'!$J$4:$J$68,'Khối lượng'!$A$4:$A$68,"M2",'Khối lượng'!$B$4:$B$68,$A8)</f>
        <v/>
      </c>
      <c r="G8" s="95">
        <f>SUMIFS('Khối lượng'!$J$4:$J$68,'Khối lượng'!$A$4:$A$68,"M4",'Khối lượng'!$B$4:$B$68,$A8)</f>
        <v/>
      </c>
      <c r="H8" s="95">
        <f>SUM(B8:G8)</f>
        <v/>
      </c>
      <c r="I8" s="96">
        <f>IF($H$12=0,0,H8/$H$12)</f>
        <v/>
      </c>
    </row>
    <row r="9" ht="15" customHeight="1" s="58">
      <c r="A9" s="67" t="inlineStr">
        <is>
          <t>14 Fanpage</t>
        </is>
      </c>
      <c r="B9" s="95">
        <f>SUMIFS('Khối lượng'!$J$4:$J$68,'Khối lượng'!$A$4:$A$68,"M1a",'Khối lượng'!$B$4:$B$68,$A9)</f>
        <v/>
      </c>
      <c r="C9" s="95">
        <f>SUMIFS('Khối lượng'!$J$4:$J$68,'Khối lượng'!$A$4:$A$68,"M1b",'Khối lượng'!$B$4:$B$68,$A9)</f>
        <v/>
      </c>
      <c r="D9" s="95">
        <f>SUMIFS('Khối lượng'!$J$4:$J$68,'Khối lượng'!$A$4:$A$68,"M1c",'Khối lượng'!$B$4:$B$68,$A9)</f>
        <v/>
      </c>
      <c r="E9" s="95">
        <f>SUMIFS('Khối lượng'!$J$4:$J$68,'Khối lượng'!$A$4:$A$68,"M3",'Khối lượng'!$B$4:$B$68,$A9)</f>
        <v/>
      </c>
      <c r="F9" s="95">
        <f>SUMIFS('Khối lượng'!$J$4:$J$68,'Khối lượng'!$A$4:$A$68,"M2",'Khối lượng'!$B$4:$B$68,$A9)</f>
        <v/>
      </c>
      <c r="G9" s="95">
        <f>SUMIFS('Khối lượng'!$J$4:$J$68,'Khối lượng'!$A$4:$A$68,"M4",'Khối lượng'!$B$4:$B$68,$A9)</f>
        <v/>
      </c>
      <c r="H9" s="95">
        <f>SUM(B9:G9)</f>
        <v/>
      </c>
      <c r="I9" s="96">
        <f>IF($H$12=0,0,H9/$H$12)</f>
        <v/>
      </c>
    </row>
    <row r="10" ht="15" customHeight="1" s="58">
      <c r="A10" s="67" t="inlineStr">
        <is>
          <t>15 Email</t>
        </is>
      </c>
      <c r="B10" s="95">
        <f>SUMIFS('Khối lượng'!$J$4:$J$68,'Khối lượng'!$A$4:$A$68,"M1a",'Khối lượng'!$B$4:$B$68,$A10)</f>
        <v/>
      </c>
      <c r="C10" s="95">
        <f>SUMIFS('Khối lượng'!$J$4:$J$68,'Khối lượng'!$A$4:$A$68,"M1b",'Khối lượng'!$B$4:$B$68,$A10)</f>
        <v/>
      </c>
      <c r="D10" s="95">
        <f>SUMIFS('Khối lượng'!$J$4:$J$68,'Khối lượng'!$A$4:$A$68,"M1c",'Khối lượng'!$B$4:$B$68,$A10)</f>
        <v/>
      </c>
      <c r="E10" s="95">
        <f>SUMIFS('Khối lượng'!$J$4:$J$68,'Khối lượng'!$A$4:$A$68,"M3",'Khối lượng'!$B$4:$B$68,$A10)</f>
        <v/>
      </c>
      <c r="F10" s="95">
        <f>SUMIFS('Khối lượng'!$J$4:$J$68,'Khối lượng'!$A$4:$A$68,"M2",'Khối lượng'!$B$4:$B$68,$A10)</f>
        <v/>
      </c>
      <c r="G10" s="95">
        <f>SUMIFS('Khối lượng'!$J$4:$J$68,'Khối lượng'!$A$4:$A$68,"M4",'Khối lượng'!$B$4:$B$68,$A10)</f>
        <v/>
      </c>
      <c r="H10" s="95">
        <f>SUM(B10:G10)</f>
        <v/>
      </c>
      <c r="I10" s="96">
        <f>IF($H$12=0,0,H10/$H$12)</f>
        <v/>
      </c>
    </row>
    <row r="11" ht="15" customHeight="1" s="58">
      <c r="A11" s="67" t="inlineStr">
        <is>
          <t>16 Kênh sau này</t>
        </is>
      </c>
      <c r="B11" s="95">
        <f>SUMIFS('Khối lượng'!$J$4:$J$68,'Khối lượng'!$A$4:$A$68,"M1a",'Khối lượng'!$B$4:$B$68,$A11)</f>
        <v/>
      </c>
      <c r="C11" s="95">
        <f>SUMIFS('Khối lượng'!$J$4:$J$68,'Khối lượng'!$A$4:$A$68,"M1b",'Khối lượng'!$B$4:$B$68,$A11)</f>
        <v/>
      </c>
      <c r="D11" s="95">
        <f>SUMIFS('Khối lượng'!$J$4:$J$68,'Khối lượng'!$A$4:$A$68,"M1c",'Khối lượng'!$B$4:$B$68,$A11)</f>
        <v/>
      </c>
      <c r="E11" s="95">
        <f>SUMIFS('Khối lượng'!$J$4:$J$68,'Khối lượng'!$A$4:$A$68,"M3",'Khối lượng'!$B$4:$B$68,$A11)</f>
        <v/>
      </c>
      <c r="F11" s="95">
        <f>SUMIFS('Khối lượng'!$J$4:$J$68,'Khối lượng'!$A$4:$A$68,"M2",'Khối lượng'!$B$4:$B$68,$A11)</f>
        <v/>
      </c>
      <c r="G11" s="95">
        <f>SUMIFS('Khối lượng'!$J$4:$J$68,'Khối lượng'!$A$4:$A$68,"M4",'Khối lượng'!$B$4:$B$68,$A11)</f>
        <v/>
      </c>
      <c r="H11" s="95">
        <f>SUM(B11:G11)</f>
        <v/>
      </c>
      <c r="I11" s="96">
        <f>IF($H$12=0,0,H11/$H$12)</f>
        <v/>
      </c>
    </row>
    <row r="12" ht="15" customHeight="1" s="58">
      <c r="A12" s="75" t="inlineStr">
        <is>
          <t>Cộng</t>
        </is>
      </c>
      <c r="B12" s="88">
        <f>SUM(B5:B11)</f>
        <v/>
      </c>
      <c r="C12" s="88">
        <f>SUM(C5:C11)</f>
        <v/>
      </c>
      <c r="D12" s="88">
        <f>SUM(D5:D11)</f>
        <v/>
      </c>
      <c r="E12" s="88">
        <f>SUM(E5:E11)</f>
        <v/>
      </c>
      <c r="F12" s="88">
        <f>SUM(F5:F11)</f>
        <v/>
      </c>
      <c r="G12" s="88">
        <f>SUM(G5:G11)</f>
        <v/>
      </c>
      <c r="H12" s="88">
        <f>SUM(H5:H11)</f>
        <v/>
      </c>
      <c r="I12" s="97">
        <f>SUM(I5:I11)</f>
        <v/>
      </c>
    </row>
    <row r="13" ht="15" customHeight="1" s="58">
      <c r="A13" s="65" t="inlineStr">
        <is>
          <t>Kiểm tra (= tổng sheet Khối lượng)</t>
        </is>
      </c>
      <c r="H13" s="98">
        <f>H12-'Khối lượng'!J70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57" min="1" max="1"/>
    <col width="13" customWidth="1" style="57" min="2" max="4"/>
    <col width="14" customWidth="1" style="57" min="5" max="5"/>
    <col width="80" customWidth="1" style="57" min="6" max="6"/>
  </cols>
  <sheetData>
    <row r="1" ht="17.35" customHeight="1" s="58">
      <c r="A1" s="59" t="inlineStr">
        <is>
          <t>Thông số ba kịch bản</t>
        </is>
      </c>
    </row>
    <row r="3" ht="15" customHeight="1" s="58">
      <c r="A3" s="66" t="inlineStr">
        <is>
          <t>Thông số</t>
        </is>
      </c>
      <c r="B3" s="66" t="inlineStr">
        <is>
          <t>Lạc quan</t>
        </is>
      </c>
      <c r="C3" s="66" t="inlineStr">
        <is>
          <t>Trung bình</t>
        </is>
      </c>
      <c r="D3" s="66" t="inlineStr">
        <is>
          <t>Tiêu cực</t>
        </is>
      </c>
      <c r="E3" s="66" t="inlineStr">
        <is>
          <t>Đơn vị</t>
        </is>
      </c>
      <c r="F3" s="66" t="inlineStr">
        <is>
          <t>Ghi chú</t>
        </is>
      </c>
    </row>
    <row r="4" ht="15" customHeight="1" s="58">
      <c r="A4" s="67" t="inlineStr">
        <is>
          <t>Thời gian hoàn thiện M1a → M4</t>
        </is>
      </c>
      <c r="B4" s="99" t="n">
        <v>2</v>
      </c>
      <c r="C4" s="100" t="n">
        <v>3</v>
      </c>
      <c r="D4" s="100" t="n">
        <v>4</v>
      </c>
      <c r="E4" s="67" t="inlineStr">
        <is>
          <t>tháng</t>
        </is>
      </c>
      <c r="F4" s="101" t="inlineStr">
        <is>
          <t>Lạc quan = mốc chủ dự án (chốt 04/10/2026)</t>
        </is>
      </c>
    </row>
    <row r="5" ht="15" customHeight="1" s="58">
      <c r="A5" s="67" t="inlineStr">
        <is>
          <t>Ngày làm việc</t>
        </is>
      </c>
      <c r="B5" s="102">
        <f>B4*'Tham số'!$B$5</f>
        <v/>
      </c>
      <c r="C5" s="102">
        <f>C4*'Tham số'!$B$5</f>
        <v/>
      </c>
      <c r="D5" s="102">
        <f>D4*'Tham số'!$B$5</f>
        <v/>
      </c>
      <c r="E5" s="67" t="inlineStr">
        <is>
          <t>ngày</t>
        </is>
      </c>
      <c r="F5" s="101" t="inlineStr">
        <is>
          <t>Tháng × ngày làm việc/tháng</t>
        </is>
      </c>
    </row>
    <row r="6" ht="15" customHeight="1" s="58">
      <c r="A6" s="67" t="inlineStr">
        <is>
          <t>Zalo cá nhân (M1a)</t>
        </is>
      </c>
      <c r="B6" s="103" t="n">
        <v>3</v>
      </c>
      <c r="C6" s="104" t="n">
        <v>5</v>
      </c>
      <c r="D6" s="104" t="n">
        <v>8</v>
      </c>
      <c r="E6" s="67" t="inlineStr">
        <is>
          <t>ngày</t>
        </is>
      </c>
      <c r="F6" s="101" t="inlineStr">
        <is>
          <t>Lạc quan = mốc chủ dự án</t>
        </is>
      </c>
    </row>
    <row r="7" ht="15" customHeight="1" s="58">
      <c r="A7" s="67" t="inlineStr">
        <is>
          <t>Khách hàng 360 (nằm trong M1b)</t>
        </is>
      </c>
      <c r="B7" s="103" t="n">
        <v>2</v>
      </c>
      <c r="C7" s="104" t="n">
        <v>3</v>
      </c>
      <c r="D7" s="104" t="n">
        <v>5</v>
      </c>
      <c r="E7" s="67" t="inlineStr">
        <is>
          <t>ngày</t>
        </is>
      </c>
      <c r="F7" s="101" t="inlineStr">
        <is>
          <t>Lạc quan = mốc chủ dự án. Bản cơ bản: hồ sơ, dòng thời gian, liên kết mã KH</t>
        </is>
      </c>
    </row>
    <row r="8" ht="15" customHeight="1" s="58">
      <c r="A8" s="67" t="inlineStr">
        <is>
          <t>BA tham gia trong phát triển</t>
        </is>
      </c>
      <c r="B8" s="105" t="n">
        <v>0.5</v>
      </c>
      <c r="C8" s="105" t="n">
        <v>0.75</v>
      </c>
      <c r="D8" s="105" t="n">
        <v>1</v>
      </c>
      <c r="E8" s="67" t="inlineStr">
        <is>
          <t>% thời gian</t>
        </is>
      </c>
      <c r="F8" s="101" t="inlineStr">
        <is>
          <t>Đặc tả 00–07 đã có; BA bổ sung theo góp ý, UAT, làm việc với người dùng</t>
        </is>
      </c>
    </row>
    <row r="9" ht="15" customHeight="1" s="58">
      <c r="A9" s="67" t="inlineStr">
        <is>
          <t>Thiết kế giao diện tham gia</t>
        </is>
      </c>
      <c r="B9" s="105" t="n">
        <v>0.25</v>
      </c>
      <c r="C9" s="105" t="n">
        <v>0.5</v>
      </c>
      <c r="D9" s="105" t="n">
        <v>0.75</v>
      </c>
      <c r="E9" s="67" t="inlineStr">
        <is>
          <t>% thời gian</t>
        </is>
      </c>
      <c r="F9" s="101" t="inlineStr">
        <is>
          <t>TK1 đã chốt; còn TK2 và màn mới (MH-SZ-15, MH-OA-20, điện thoại)</t>
        </is>
      </c>
    </row>
    <row r="10" ht="15" customHeight="1" s="58">
      <c r="A10" s="67" t="inlineStr">
        <is>
          <t>Suất Claude Code Max khi phát triển</t>
        </is>
      </c>
      <c r="B10" s="103" t="n">
        <v>3</v>
      </c>
      <c r="C10" s="103" t="n">
        <v>3</v>
      </c>
      <c r="D10" s="103" t="n">
        <v>3</v>
      </c>
      <c r="E10" s="67" t="inlineStr">
        <is>
          <t>suất</t>
        </is>
      </c>
      <c r="F10" s="101" t="inlineStr">
        <is>
          <t>2 dev + 1 BA/thiết kế</t>
        </is>
      </c>
    </row>
    <row r="11" ht="15" customHeight="1" s="58">
      <c r="A11" s="67" t="inlineStr">
        <is>
          <t>Ngày công bảo trì mỗi tháng</t>
        </is>
      </c>
      <c r="B11" s="104" t="n">
        <v>5</v>
      </c>
      <c r="C11" s="104" t="n">
        <v>8</v>
      </c>
      <c r="D11" s="104" t="n">
        <v>12</v>
      </c>
      <c r="E11" s="67" t="inlineStr">
        <is>
          <t>ngày/tháng</t>
        </is>
      </c>
      <c r="F11" s="101" t="inlineStr">
        <is>
          <t>Sửa bảng ánh xạ khi Zalo đổi, sự cố, hỗ trợ người dùng</t>
        </is>
      </c>
    </row>
    <row r="12" ht="15" customHeight="1" s="58">
      <c r="A12" s="67" t="inlineStr">
        <is>
          <t>BA khi duy trì</t>
        </is>
      </c>
      <c r="B12" s="105" t="n">
        <v>0.1</v>
      </c>
      <c r="C12" s="105" t="n">
        <v>0.2</v>
      </c>
      <c r="D12" s="105" t="n">
        <v>0.3</v>
      </c>
      <c r="E12" s="67" t="inlineStr">
        <is>
          <t>% thời gian</t>
        </is>
      </c>
      <c r="F12" s="101" t="inlineStr">
        <is>
          <t>Thu góp ý, viết yêu cầu thay đổi</t>
        </is>
      </c>
    </row>
    <row r="13" ht="15" customHeight="1" s="58">
      <c r="A13" s="67" t="inlineStr">
        <is>
          <t>Suất Claude Code Max khi duy trì</t>
        </is>
      </c>
      <c r="B13" s="103" t="n">
        <v>1</v>
      </c>
      <c r="C13" s="103" t="n">
        <v>1</v>
      </c>
      <c r="D13" s="103" t="n">
        <v>2</v>
      </c>
      <c r="E13" s="67" t="inlineStr">
        <is>
          <t>suất</t>
        </is>
      </c>
      <c r="F13" s="101" t="n"/>
    </row>
    <row r="14" ht="15" customHeight="1" s="58">
      <c r="A14" s="67" t="inlineStr">
        <is>
          <t>Hệ số cấu hình cloud</t>
        </is>
      </c>
      <c r="B14" s="106" t="n">
        <v>0.85</v>
      </c>
      <c r="C14" s="106" t="n">
        <v>1</v>
      </c>
      <c r="D14" s="106" t="n">
        <v>1.3</v>
      </c>
      <c r="E14" s="67" t="inlineStr">
        <is>
          <t>hệ số</t>
        </is>
      </c>
      <c r="F14" s="101" t="inlineStr">
        <is>
          <t>Nhân với báo giá cloud ở sheet Hạ tầng; tiêu cực = phải nâng cấu hình</t>
        </is>
      </c>
    </row>
    <row r="15">
      <c r="A15" s="67" t="inlineStr">
        <is>
          <t>Ngày cho mỗi kênh ở M4</t>
        </is>
      </c>
      <c r="B15" s="103" t="n">
        <v>4</v>
      </c>
      <c r="C15" s="104" t="n">
        <v>5</v>
      </c>
      <c r="D15" s="104" t="n">
        <v>6</v>
      </c>
      <c r="E15" s="67" t="inlineStr">
        <is>
          <t>ngày</t>
        </is>
      </c>
      <c r="F15" s="101" t="inlineStr">
        <is>
          <t>Lạc quan = mốc chủ dự án (chốt 04/10/2026): mỗi kênh 4 ngày, 2 dev làm song song 2 kênh</t>
        </is>
      </c>
    </row>
    <row r="16">
      <c r="A16" s="67" t="inlineStr">
        <is>
          <t>Số kênh ở M4</t>
        </is>
      </c>
      <c r="B16" s="103" t="n">
        <v>9</v>
      </c>
      <c r="C16" s="104" t="n">
        <v>9</v>
      </c>
      <c r="D16" s="104" t="n">
        <v>9</v>
      </c>
      <c r="E16" s="67" t="inlineStr">
        <is>
          <t>kênh</t>
        </is>
      </c>
      <c r="F16" s="101" t="inlineStr">
        <is>
          <t>Zalo OA (cả ZNS), Fanpage, Facebook cá nhân, Email, chatbot/livechat web, TikTok Shop, Shopee, Instagram, tổng đài. Không bật FB cá nhân thì giảm 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57" min="1" max="1"/>
    <col width="16" customWidth="1" style="57" min="2" max="3"/>
    <col width="90" customWidth="1" style="57" min="4" max="4"/>
  </cols>
  <sheetData>
    <row r="1" ht="17.35" customHeight="1" s="58">
      <c r="A1" s="59" t="inlineStr">
        <is>
          <t>Tham số dùng chung</t>
        </is>
      </c>
    </row>
    <row r="3" ht="15" customHeight="1" s="58">
      <c r="A3" s="66" t="inlineStr">
        <is>
          <t>Tham số</t>
        </is>
      </c>
      <c r="B3" s="66" t="inlineStr">
        <is>
          <t>Giá trị</t>
        </is>
      </c>
      <c r="C3" s="66" t="inlineStr">
        <is>
          <t>Đơn vị</t>
        </is>
      </c>
      <c r="D3" s="66" t="inlineStr">
        <is>
          <t>Nguồn / ghi chú</t>
        </is>
      </c>
    </row>
    <row r="4" ht="15" customHeight="1" s="58">
      <c r="A4" s="67" t="inlineStr">
        <is>
          <t>Ngày bắt đầu</t>
        </is>
      </c>
      <c r="B4" s="107" t="n">
        <v>46300</v>
      </c>
      <c r="C4" s="67" t="inlineStr">
        <is>
          <t>ngày</t>
        </is>
      </c>
      <c r="D4" s="101" t="inlineStr">
        <is>
          <t>Thứ Hai sau ngày chốt 04/10/2026</t>
        </is>
      </c>
    </row>
    <row r="5" ht="15" customHeight="1" s="58">
      <c r="A5" s="67" t="inlineStr">
        <is>
          <t>Ngày làm việc mỗi tháng</t>
        </is>
      </c>
      <c r="B5" s="103" t="n">
        <v>22</v>
      </c>
      <c r="C5" s="67" t="inlineStr">
        <is>
          <t>ngày</t>
        </is>
      </c>
      <c r="D5" s="101" t="inlineStr">
        <is>
          <t>Thứ Hai – thứ Sáu</t>
        </is>
      </c>
    </row>
    <row r="6" ht="15" customHeight="1" s="58">
      <c r="A6" s="67" t="inlineStr">
        <is>
          <t>Lương đội dev</t>
        </is>
      </c>
      <c r="B6" s="108" t="n">
        <v>75000000</v>
      </c>
      <c r="C6" s="67" t="inlineStr">
        <is>
          <t>VNĐ/tháng</t>
        </is>
      </c>
      <c r="D6" s="101" t="inlineStr">
        <is>
          <t>Chốt 04/10/2026: 2 dev, đã gồm mọi khoản (bảo hiểm, phụ cấp)</t>
        </is>
      </c>
    </row>
    <row r="7" ht="15" customHeight="1" s="58">
      <c r="A7" s="67" t="inlineStr">
        <is>
          <t>Số dev</t>
        </is>
      </c>
      <c r="B7" s="103" t="n">
        <v>2</v>
      </c>
      <c r="C7" s="67" t="inlineStr">
        <is>
          <t>người</t>
        </is>
      </c>
      <c r="D7" s="101" t="inlineStr">
        <is>
          <t>Chốt 04/10/2026; dev kiêm FE, BE, QA, DevOps cùng Claude Code</t>
        </is>
      </c>
    </row>
    <row r="8" ht="15" customHeight="1" s="58">
      <c r="A8" s="67" t="inlineStr">
        <is>
          <t>Đơn giá một ngày công dev</t>
        </is>
      </c>
      <c r="B8" s="74">
        <f>$B$6/$B$7/$B$5</f>
        <v/>
      </c>
      <c r="C8" s="67" t="inlineStr">
        <is>
          <t>VNĐ/ngày</t>
        </is>
      </c>
      <c r="D8" s="101" t="inlineStr">
        <is>
          <t>Công thức</t>
        </is>
      </c>
    </row>
    <row r="9" ht="26.85" customHeight="1" s="58">
      <c r="A9" s="67" t="inlineStr">
        <is>
          <t>Lương BA (toàn thời gian)</t>
        </is>
      </c>
      <c r="B9" s="109" t="n">
        <v>25000000</v>
      </c>
      <c r="C9" s="67" t="inlineStr">
        <is>
          <t>VNĐ/tháng</t>
        </is>
      </c>
      <c r="D9" s="101" t="inlineStr">
        <is>
          <t>Giả định, đã gồm mọi khoản. BA viết đặc tả, UAT, đọc góp ý, làm việc với chủ dự án; làm cùng Claude</t>
        </is>
      </c>
    </row>
    <row r="10" ht="15" customHeight="1" s="58">
      <c r="A10" s="67" t="inlineStr">
        <is>
          <t>Lương thiết kế giao diện (toàn thời gian)</t>
        </is>
      </c>
      <c r="B10" s="109" t="n">
        <v>20000000</v>
      </c>
      <c r="C10" s="67" t="inlineStr">
        <is>
          <t>VNĐ/tháng</t>
        </is>
      </c>
      <c r="D10" s="101" t="inlineStr">
        <is>
          <t>Giả định. Thiết kế canvas theo đặc tả, sửa theo góp ý; làm cùng Claude</t>
        </is>
      </c>
    </row>
    <row r="11" ht="15" customHeight="1" s="58">
      <c r="A11" s="67" t="inlineStr">
        <is>
          <t>Gói Claude Code Max 20x</t>
        </is>
      </c>
      <c r="B11" s="110" t="n">
        <v>200</v>
      </c>
      <c r="C11" s="67" t="inlineStr">
        <is>
          <t>USD/suất/tháng</t>
        </is>
      </c>
      <c r="D11" s="101" t="inlineStr">
        <is>
          <t>claude.com/pricing (04/10/2026): Max 5x từ 100 USD, Max 20x 200 USD</t>
        </is>
      </c>
    </row>
    <row r="12" ht="15" customHeight="1" s="58">
      <c r="A12" s="67" t="inlineStr">
        <is>
          <t>Tỷ giá USD → VNĐ</t>
        </is>
      </c>
      <c r="B12" s="108" t="n">
        <v>26500</v>
      </c>
      <c r="C12" s="67" t="inlineStr">
        <is>
          <t>VNĐ/USD</t>
        </is>
      </c>
      <c r="D12" s="101" t="inlineStr">
        <is>
          <t>Giả định; cập nhật theo ngân hàng khi chốt</t>
        </is>
      </c>
    </row>
    <row r="13" ht="15" customHeight="1" s="58">
      <c r="A13" s="67" t="inlineStr">
        <is>
          <t>Một suất Claude Code Max</t>
        </is>
      </c>
      <c r="B13" s="74">
        <f>$B$11*$B$12</f>
        <v/>
      </c>
      <c r="C13" s="67" t="inlineStr">
        <is>
          <t>VNĐ/tháng</t>
        </is>
      </c>
      <c r="D13" s="101" t="inlineStr">
        <is>
          <t>Công thức</t>
        </is>
      </c>
    </row>
    <row r="14" ht="15" customHeight="1" s="58">
      <c r="A14" s="67" t="inlineStr">
        <is>
          <t>Claude Sonnet 5.5 — input</t>
        </is>
      </c>
      <c r="B14" s="110" t="n">
        <v>2</v>
      </c>
      <c r="C14" s="67" t="inlineStr">
        <is>
          <t>USD/1M token</t>
        </is>
      </c>
      <c r="D14" s="101" t="inlineStr">
        <is>
          <t>Bảng giá Anthropic API (25/09/2026)</t>
        </is>
      </c>
    </row>
    <row r="15" ht="15" customHeight="1" s="58">
      <c r="A15" s="67" t="inlineStr">
        <is>
          <t>Claude Sonnet 5.5 — đọc cache</t>
        </is>
      </c>
      <c r="B15" s="110" t="n">
        <v>0.2</v>
      </c>
      <c r="C15" s="67" t="inlineStr">
        <is>
          <t>USD/1M token</t>
        </is>
      </c>
      <c r="D15" s="101" t="inlineStr">
        <is>
          <t>Bảng giá Anthropic API</t>
        </is>
      </c>
    </row>
    <row r="16" ht="15" customHeight="1" s="58">
      <c r="A16" s="67" t="inlineStr">
        <is>
          <t>Claude Sonnet 5.5 — output</t>
        </is>
      </c>
      <c r="B16" s="110" t="n">
        <v>10</v>
      </c>
      <c r="C16" s="67" t="inlineStr">
        <is>
          <t>USD/1M token</t>
        </is>
      </c>
      <c r="D16" s="101" t="inlineStr">
        <is>
          <t>Bảng giá Anthropic API</t>
        </is>
      </c>
    </row>
    <row r="17" ht="15" customHeight="1" s="58">
      <c r="A17" s="67" t="inlineStr">
        <is>
          <t>Claude Haiku 4.5 — input</t>
        </is>
      </c>
      <c r="B17" s="110" t="n">
        <v>1</v>
      </c>
      <c r="C17" s="67" t="inlineStr">
        <is>
          <t>USD/1M token</t>
        </is>
      </c>
      <c r="D17" s="101" t="inlineStr">
        <is>
          <t>Bảng giá Anthropic API</t>
        </is>
      </c>
    </row>
    <row r="18" ht="15" customHeight="1" s="58">
      <c r="A18" s="67" t="inlineStr">
        <is>
          <t>Claude Haiku 4.5 — output</t>
        </is>
      </c>
      <c r="B18" s="110" t="n">
        <v>5</v>
      </c>
      <c r="C18" s="67" t="inlineStr">
        <is>
          <t>USD/1M token</t>
        </is>
      </c>
      <c r="D18" s="101" t="inlineStr">
        <is>
          <t>Bảng giá Anthropic API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8" customWidth="1" style="57" min="1" max="1"/>
    <col width="16" customWidth="1" style="57" min="2" max="3"/>
    <col width="84" customWidth="1" style="57" min="4" max="4"/>
  </cols>
  <sheetData>
    <row r="1" ht="17.35" customHeight="1" s="58">
      <c r="A1" s="59" t="inlineStr">
        <is>
          <t>Hạ tầng cloud và dịch vụ (VNĐ/tháng, môi trường chạy thật)</t>
        </is>
      </c>
    </row>
    <row r="2" ht="15" customHeight="1" s="58">
      <c r="A2" s="65" t="inlineStr">
        <is>
          <t>Chốt 04/10/2026: thuê cloud toàn bộ. Báo giá là giả định theo mặt bằng cloud trong nước (Viettel IDC, FPT, VNG, Bizfly); ưu tiên đặt dữ liệu tại Việt Nam theo NĐ 13. Chờ báo giá thật.</t>
        </is>
      </c>
    </row>
    <row r="4" ht="15" customHeight="1" s="58">
      <c r="A4" s="66" t="inlineStr">
        <is>
          <t>Khoản</t>
        </is>
      </c>
      <c r="B4" s="66" t="inlineStr">
        <is>
          <t>Giá trị</t>
        </is>
      </c>
      <c r="C4" s="66" t="inlineStr">
        <is>
          <t>Đơn vị</t>
        </is>
      </c>
      <c r="D4" s="66" t="inlineStr">
        <is>
          <t>Ghi chú</t>
        </is>
      </c>
    </row>
    <row r="5" ht="15" customHeight="1" s="58">
      <c r="A5" s="72" t="inlineStr">
        <is>
          <t>A. Cloud</t>
        </is>
      </c>
      <c r="B5" s="73" t="n"/>
      <c r="C5" s="73" t="n"/>
      <c r="D5" s="73" t="n"/>
    </row>
    <row r="6" ht="15" customHeight="1" s="58">
      <c r="A6" s="67" t="inlineStr">
        <is>
          <t>Máy ảo ứng dụng: API, web, worker, Redis (4 vCPU, 8 GB)</t>
        </is>
      </c>
      <c r="B6" s="109" t="n">
        <v>1800000</v>
      </c>
      <c r="C6" s="67" t="inlineStr">
        <is>
          <t>VNĐ/tháng</t>
        </is>
      </c>
      <c r="D6" s="101" t="inlineStr">
        <is>
          <t>NestJS API, Dashboard, BullMQ</t>
        </is>
      </c>
    </row>
    <row r="7" ht="15" customHeight="1" s="58">
      <c r="A7" s="67" t="inlineStr">
        <is>
          <t>MongoDB: máy ảo 4 vCPU, 8 GB, SSD 200 GB, mã hóa ổ đĩa</t>
        </is>
      </c>
      <c r="B7" s="109" t="n">
        <v>2200000</v>
      </c>
      <c r="C7" s="67" t="inlineStr">
        <is>
          <t>VNĐ/tháng</t>
        </is>
      </c>
      <c r="D7" s="101" t="inlineStr">
        <is>
          <t>Mã hóa at-rest theo CLAUDE.md §12</t>
        </is>
      </c>
    </row>
    <row r="8" ht="15" customHeight="1" s="58">
      <c r="A8" s="67" t="inlineStr">
        <is>
          <t>Lưu trữ đối tượng 500 GB (thay MinIO)</t>
        </is>
      </c>
      <c r="B8" s="109" t="n">
        <v>600000</v>
      </c>
      <c r="C8" s="67" t="inlineStr">
        <is>
          <t>VNĐ/tháng</t>
        </is>
      </c>
      <c r="D8" s="101" t="inlineStr">
        <is>
          <t>File, ảnh, ghi âm</t>
        </is>
      </c>
    </row>
    <row r="9" ht="15" customHeight="1" s="58">
      <c r="A9" s="67" t="inlineStr">
        <is>
          <t>Máy ảo Chrome driver: 8 vCPU, 16 GB, có giao diện đồ họa</t>
        </is>
      </c>
      <c r="B9" s="109" t="n">
        <v>3500000</v>
      </c>
      <c r="C9" s="67" t="inlineStr">
        <is>
          <t>VNĐ/tháng</t>
        </is>
      </c>
      <c r="D9" s="101" t="inlineStr">
        <is>
          <t>10–15 nick Zalo cá nhân. Rủi ro: Zalo có thể nghi ngờ IP trung tâm dữ liệu — thử ở M1a</t>
        </is>
      </c>
    </row>
    <row r="10" ht="15" customHeight="1" s="58">
      <c r="A10" s="67" t="inlineStr">
        <is>
          <t>Máy ảo Chrome driver dự phòng (để tắt, chỉ trả ổ đĩa)</t>
        </is>
      </c>
      <c r="B10" s="109" t="n">
        <v>300000</v>
      </c>
      <c r="C10" s="67" t="inlineStr">
        <is>
          <t>VNĐ/tháng</t>
        </is>
      </c>
      <c r="D10" s="101" t="inlineStr">
        <is>
          <t>R8-01: bật lên khi máy chính hỏng</t>
        </is>
      </c>
    </row>
    <row r="11" ht="15" customHeight="1" s="58">
      <c r="A11" s="67" t="inlineStr">
        <is>
          <t>Máy ảo ASR faster-whisper (8 vCPU, 16 GB, chạy CPU)</t>
        </is>
      </c>
      <c r="B11" s="109" t="n">
        <v>2800000</v>
      </c>
      <c r="C11" s="67" t="inlineStr">
        <is>
          <t>VNĐ/tháng</t>
        </is>
      </c>
      <c r="D11" s="101" t="inlineStr">
        <is>
          <t>Hoặc GPU thuê theo giờ nếu lượng ghi âm lớn</t>
        </is>
      </c>
    </row>
    <row r="12" ht="15" customHeight="1" s="58">
      <c r="A12" s="67" t="inlineStr">
        <is>
          <t>Sao lưu, snapshot hằng ngày</t>
        </is>
      </c>
      <c r="B12" s="109" t="n">
        <v>600000</v>
      </c>
      <c r="C12" s="67" t="inlineStr">
        <is>
          <t>VNĐ/tháng</t>
        </is>
      </c>
      <c r="D12" s="101" t="n"/>
    </row>
    <row r="13" ht="15" customHeight="1" s="58">
      <c r="A13" s="67" t="inlineStr">
        <is>
          <t>Băng thông, IP tĩnh</t>
        </is>
      </c>
      <c r="B13" s="109" t="n">
        <v>300000</v>
      </c>
      <c r="C13" s="67" t="inlineStr">
        <is>
          <t>VNĐ/tháng</t>
        </is>
      </c>
      <c r="D13" s="101" t="n"/>
    </row>
    <row r="14" ht="15" customHeight="1" s="58">
      <c r="A14" s="67" t="inlineStr">
        <is>
          <t>Tên miền, Cloudflare, chứng chỉ</t>
        </is>
      </c>
      <c r="B14" s="109" t="n">
        <v>200000</v>
      </c>
      <c r="C14" s="67" t="inlineStr">
        <is>
          <t>VNĐ/tháng</t>
        </is>
      </c>
      <c r="D14" s="101" t="n"/>
    </row>
    <row r="15" ht="15" customHeight="1" s="58">
      <c r="A15" s="78" t="inlineStr">
        <is>
          <t>Cộng cloud (cấu hình chuẩn)</t>
        </is>
      </c>
      <c r="B15" s="79">
        <f>SUM(B6:B14)</f>
        <v/>
      </c>
      <c r="C15" s="67" t="inlineStr">
        <is>
          <t>VNĐ/tháng</t>
        </is>
      </c>
      <c r="D15" s="101" t="inlineStr">
        <is>
          <t>Nhân hệ số cấu hình của từng kịch bản</t>
        </is>
      </c>
    </row>
    <row r="16" ht="15" customHeight="1" s="58">
      <c r="A16" s="67" t="inlineStr">
        <is>
          <t>Môi trường thử trong giai đoạn phát triển</t>
        </is>
      </c>
      <c r="B16" s="105" t="n">
        <v>0.5</v>
      </c>
      <c r="C16" s="67" t="inlineStr">
        <is>
          <t>% cloud thật</t>
        </is>
      </c>
      <c r="D16" s="101" t="inlineStr">
        <is>
          <t>Cấu hình nhỏ hơn, chưa cần máy dự phòng</t>
        </is>
      </c>
    </row>
    <row r="18" ht="15" customHeight="1" s="58">
      <c r="A18" s="72" t="inlineStr">
        <is>
          <t>B. Claude API (lưu lượng đã chốt 04/10/2026)</t>
        </is>
      </c>
      <c r="B18" s="73" t="n"/>
      <c r="C18" s="73" t="n"/>
      <c r="D18" s="73" t="n"/>
    </row>
    <row r="19" ht="15" customHeight="1" s="58">
      <c r="A19" s="67" t="inlineStr">
        <is>
          <t>Số người dùng</t>
        </is>
      </c>
      <c r="B19" s="103" t="n">
        <v>30</v>
      </c>
      <c r="C19" s="67" t="inlineStr">
        <is>
          <t>người</t>
        </is>
      </c>
      <c r="D19" s="101" t="inlineStr">
        <is>
          <t>Chốt</t>
        </is>
      </c>
    </row>
    <row r="20" ht="15" customHeight="1" s="58">
      <c r="A20" s="67" t="inlineStr">
        <is>
          <t>Tin nhắn vào mỗi ngày (mọi kênh)</t>
        </is>
      </c>
      <c r="B20" s="108" t="n">
        <v>3000</v>
      </c>
      <c r="C20" s="67" t="inlineStr">
        <is>
          <t>tin/ngày</t>
        </is>
      </c>
      <c r="D20" s="101" t="inlineStr">
        <is>
          <t>Chốt</t>
        </is>
      </c>
    </row>
    <row r="21" ht="15" customHeight="1" s="58">
      <c r="A21" s="67" t="inlineStr">
        <is>
          <t>Số ngày mỗi tháng</t>
        </is>
      </c>
      <c r="B21" s="103" t="n">
        <v>30</v>
      </c>
      <c r="C21" s="67" t="inlineStr">
        <is>
          <t>ngày</t>
        </is>
      </c>
      <c r="D21" s="101" t="n"/>
    </row>
    <row r="22" ht="15" customHeight="1" s="58">
      <c r="A22" s="67" t="inlineStr">
        <is>
          <t>Tỷ lệ tin cần soạn nháp</t>
        </is>
      </c>
      <c r="B22" s="111" t="n">
        <v>0.4</v>
      </c>
      <c r="C22" s="67" t="inlineStr">
        <is>
          <t>%</t>
        </is>
      </c>
      <c r="D22" s="101" t="inlineStr">
        <is>
          <t>Chốt</t>
        </is>
      </c>
    </row>
    <row r="23" ht="15" customHeight="1" s="58">
      <c r="A23" s="67" t="inlineStr">
        <is>
          <t>Token input mỗi lượt gợi ý (Sonnet 5.5)</t>
        </is>
      </c>
      <c r="B23" s="108" t="n">
        <v>8000</v>
      </c>
      <c r="C23" s="67" t="inlineStr">
        <is>
          <t>token</t>
        </is>
      </c>
      <c r="D23" s="101" t="inlineStr">
        <is>
          <t>30 tin gần nhất + hồ sơ + thẻ VCwiki + tra VCsales + playbook</t>
        </is>
      </c>
    </row>
    <row r="24" ht="15" customHeight="1" s="58">
      <c r="A24" s="67" t="inlineStr">
        <is>
          <t>Tỷ lệ input đọc từ cache</t>
        </is>
      </c>
      <c r="B24" s="111" t="n">
        <v>0.5</v>
      </c>
      <c r="C24" s="67" t="inlineStr">
        <is>
          <t>%</t>
        </is>
      </c>
      <c r="D24" s="101" t="inlineStr">
        <is>
          <t>Playbook, system prompt cố định</t>
        </is>
      </c>
    </row>
    <row r="25" ht="15" customHeight="1" s="58">
      <c r="A25" s="67" t="inlineStr">
        <is>
          <t>Token output mỗi lượt</t>
        </is>
      </c>
      <c r="B25" s="108" t="n">
        <v>400</v>
      </c>
      <c r="C25" s="67" t="inlineStr">
        <is>
          <t>token</t>
        </is>
      </c>
      <c r="D25" s="101" t="n"/>
    </row>
    <row r="26" ht="15" customHeight="1" s="58">
      <c r="A26" s="67" t="inlineStr">
        <is>
          <t>Gợi ý trả lời / tháng</t>
        </is>
      </c>
      <c r="B26" s="112">
        <f>$B$20*$B$21*$B$22*($B$23*(1-$B$24)*'Tham số'!$B$14+$B$23*$B$24*'Tham số'!$B$15+$B$25*'Tham số'!$B$16)/1000000</f>
        <v/>
      </c>
      <c r="C26" s="67" t="inlineStr">
        <is>
          <t>USD/tháng</t>
        </is>
      </c>
      <c r="D26" s="101" t="inlineStr">
        <is>
          <t>Công thức</t>
        </is>
      </c>
    </row>
    <row r="27" ht="15" customHeight="1" s="58">
      <c r="A27" s="67" t="inlineStr">
        <is>
          <t>Token input phân loại mỗi tin (Haiku 4.5)</t>
        </is>
      </c>
      <c r="B27" s="108" t="n">
        <v>1500</v>
      </c>
      <c r="C27" s="67" t="inlineStr">
        <is>
          <t>token</t>
        </is>
      </c>
      <c r="D27" s="101" t="n"/>
    </row>
    <row r="28" ht="15" customHeight="1" s="58">
      <c r="A28" s="67" t="inlineStr">
        <is>
          <t>Token output phân loại mỗi tin</t>
        </is>
      </c>
      <c r="B28" s="108" t="n">
        <v>100</v>
      </c>
      <c r="C28" s="67" t="inlineStr">
        <is>
          <t>token</t>
        </is>
      </c>
      <c r="D28" s="101" t="n"/>
    </row>
    <row r="29" ht="15" customHeight="1" s="58">
      <c r="A29" s="67" t="inlineStr">
        <is>
          <t>Phân loại tin / tháng</t>
        </is>
      </c>
      <c r="B29" s="112">
        <f>$B$20*$B$21*($B$27*'Tham số'!$B$17+$B$28*'Tham số'!$B$18)/1000000</f>
        <v/>
      </c>
      <c r="C29" s="67" t="inlineStr">
        <is>
          <t>USD/tháng</t>
        </is>
      </c>
      <c r="D29" s="101" t="inlineStr">
        <is>
          <t>Công thức</t>
        </is>
      </c>
    </row>
    <row r="30" ht="15" customHeight="1" s="58">
      <c r="A30" s="78" t="inlineStr">
        <is>
          <t>Cộng Claude API</t>
        </is>
      </c>
      <c r="B30" s="79">
        <f>($B$26+$B$29)*'Tham số'!$B$12</f>
        <v/>
      </c>
      <c r="C30" s="67" t="inlineStr">
        <is>
          <t>VNĐ/tháng</t>
        </is>
      </c>
      <c r="D30" s="101" t="inlineStr">
        <is>
          <t>Công thức</t>
        </is>
      </c>
    </row>
    <row r="32" ht="15" customHeight="1" s="58">
      <c r="A32" s="72" t="inlineStr">
        <is>
          <t>C. Kênh</t>
        </is>
      </c>
      <c r="B32" s="73" t="n"/>
      <c r="C32" s="73" t="n"/>
      <c r="D32" s="73" t="n"/>
    </row>
    <row r="33" ht="15" customHeight="1" s="58">
      <c r="A33" s="67" t="inlineStr">
        <is>
          <t>Gói Zalo OA</t>
        </is>
      </c>
      <c r="B33" s="108" t="n">
        <v>3000000</v>
      </c>
      <c r="C33" s="67" t="inlineStr">
        <is>
          <t>VNĐ/năm</t>
        </is>
      </c>
      <c r="D33" s="101" t="inlineStr">
        <is>
          <t>Chốt 04/10/2026</t>
        </is>
      </c>
    </row>
    <row r="34" ht="15" customHeight="1" s="58">
      <c r="A34" s="67" t="inlineStr">
        <is>
          <t>Gói Zalo OA quy ra tháng</t>
        </is>
      </c>
      <c r="B34" s="74">
        <f>$B$33/12</f>
        <v/>
      </c>
      <c r="C34" s="67" t="inlineStr">
        <is>
          <t>VNĐ/tháng</t>
        </is>
      </c>
      <c r="D34" s="101" t="inlineStr">
        <is>
          <t>Công thức</t>
        </is>
      </c>
    </row>
    <row r="35" ht="15" customHeight="1" s="58">
      <c r="A35" s="67" t="inlineStr">
        <is>
          <t>Tin ZNS</t>
        </is>
      </c>
      <c r="B35" s="108" t="n">
        <v>0</v>
      </c>
      <c r="C35" s="67" t="inlineStr">
        <is>
          <t>VNĐ/tháng</t>
        </is>
      </c>
      <c r="D35" s="101" t="inlineStr">
        <is>
          <t>Chưa bật; nhập khi có kế hoạch gửi ZNS (M2)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K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8" customWidth="1" style="57" min="1" max="1"/>
    <col width="20" customWidth="1" style="57" min="2" max="2"/>
    <col width="70" customWidth="1" style="57" min="3" max="3"/>
    <col width="8" customWidth="1" style="57" min="4" max="4"/>
    <col width="9" customWidth="1" style="57" min="5" max="5"/>
    <col width="10" customWidth="1" style="57" min="6" max="7"/>
    <col width="8" customWidth="1" style="57" min="8" max="8"/>
    <col width="9" customWidth="1" style="57" min="9" max="9"/>
    <col width="12" customWidth="1" style="57" min="10" max="10"/>
    <col width="40" customWidth="1" style="57" min="11" max="11"/>
  </cols>
  <sheetData>
    <row r="1" ht="17.35" customHeight="1" s="58">
      <c r="A1" s="59" t="inlineStr">
        <is>
          <t>Khối lượng theo mảnh — ngày công ước lượng nếu KHÔNG dùng AI</t>
        </is>
      </c>
    </row>
    <row r="2" ht="15" customHeight="1" s="58">
      <c r="A2" s="65" t="inlineStr">
        <is>
          <t>Dùng để chia thời gian giữa các mảnh (sheet Tiến độ) và tính tốc độ cần so với cách làm thông thường. Không dùng để tính tiền. M1 → M3 → M2 chỉ làm trên Zalo cá nhân; mọi kênh khác dồn sang M4 (chốt 04/10/2026).</t>
        </is>
      </c>
    </row>
    <row r="3" ht="26.85" customHeight="1" s="58">
      <c r="A3" s="66" t="inlineStr">
        <is>
          <t>Mảnh</t>
        </is>
      </c>
      <c r="B3" s="66" t="inlineStr">
        <is>
          <t>Kênh (BA tổng Phần II)</t>
        </is>
      </c>
      <c r="C3" s="66" t="inlineStr">
        <is>
          <t>Hạng mục</t>
        </is>
      </c>
      <c r="D3" s="66" t="inlineStr">
        <is>
          <t>BA</t>
        </is>
      </c>
      <c r="E3" s="66" t="inlineStr">
        <is>
          <t>Thiết kế</t>
        </is>
      </c>
      <c r="F3" s="66" t="inlineStr">
        <is>
          <t>Frontend</t>
        </is>
      </c>
      <c r="G3" s="66" t="inlineStr">
        <is>
          <t>Backend</t>
        </is>
      </c>
      <c r="H3" s="66" t="inlineStr">
        <is>
          <t>QA</t>
        </is>
      </c>
      <c r="I3" s="66" t="inlineStr">
        <is>
          <t>DevOps</t>
        </is>
      </c>
      <c r="J3" s="66" t="inlineStr">
        <is>
          <t>Tổng ngày công</t>
        </is>
      </c>
      <c r="K3" s="66" t="inlineStr">
        <is>
          <t>Căn cứ đặc tả</t>
        </is>
      </c>
    </row>
    <row r="4" ht="15" customHeight="1" s="58">
      <c r="A4" s="67" t="inlineStr">
        <is>
          <t>M1a</t>
        </is>
      </c>
      <c r="B4" s="67" t="inlineStr">
        <is>
          <t>11 Zalo cá nhân</t>
        </is>
      </c>
      <c r="C4" s="67" t="inlineStr">
        <is>
          <t>Máy chủ Chrome driver trên cloud, 10–15 nick, cảnh báo phiên rớt (R8-01)</t>
        </is>
      </c>
      <c r="D4" s="113" t="n">
        <v>1</v>
      </c>
      <c r="E4" s="113" t="n">
        <v>0</v>
      </c>
      <c r="F4" s="113" t="n">
        <v>2</v>
      </c>
      <c r="G4" s="113" t="n">
        <v>4</v>
      </c>
      <c r="H4" s="113" t="n">
        <v>2</v>
      </c>
      <c r="I4" s="113" t="n">
        <v>5</v>
      </c>
      <c r="J4" s="95">
        <f>SUM(D4:I4)</f>
        <v/>
      </c>
      <c r="K4" s="67" t="inlineStr">
        <is>
          <t>BA §19, D8-08; docs/chrome-driver.md</t>
        </is>
      </c>
    </row>
    <row r="5" ht="15" customHeight="1" s="58">
      <c r="A5" s="67" t="inlineStr">
        <is>
          <t>M1a</t>
        </is>
      </c>
      <c r="B5" s="67" t="inlineStr">
        <is>
          <t>11 Zalo cá nhân</t>
        </is>
      </c>
      <c r="C5" s="67" t="inlineStr">
        <is>
          <t>Trạng thái nick và Đồng bộ (góc sale của /sync)</t>
        </is>
      </c>
      <c r="D5" s="113" t="n">
        <v>1</v>
      </c>
      <c r="E5" s="113" t="n">
        <v>1</v>
      </c>
      <c r="F5" s="113" t="n">
        <v>3</v>
      </c>
      <c r="G5" s="113" t="n">
        <v>3</v>
      </c>
      <c r="H5" s="113" t="n">
        <v>2</v>
      </c>
      <c r="I5" s="113" t="n">
        <v>0</v>
      </c>
      <c r="J5" s="95">
        <f>SUM(D5:I5)</f>
        <v/>
      </c>
      <c r="K5" s="67" t="inlineStr">
        <is>
          <t>03 MH-SZ-12</t>
        </is>
      </c>
    </row>
    <row r="6" ht="15" customHeight="1" s="58">
      <c r="A6" s="67" t="inlineStr">
        <is>
          <t>M1a</t>
        </is>
      </c>
      <c r="B6" s="67" t="inlineStr">
        <is>
          <t>11 Zalo cá nhân</t>
        </is>
      </c>
      <c r="C6" s="67" t="inlineStr">
        <is>
          <t>Danh bạ, lời mời kết bạn (L3)</t>
        </is>
      </c>
      <c r="D6" s="113" t="n">
        <v>1</v>
      </c>
      <c r="E6" s="113" t="n">
        <v>1</v>
      </c>
      <c r="F6" s="113" t="n">
        <v>4</v>
      </c>
      <c r="G6" s="113" t="n">
        <v>4</v>
      </c>
      <c r="H6" s="113" t="n">
        <v>2</v>
      </c>
      <c r="I6" s="113" t="n">
        <v>0</v>
      </c>
      <c r="J6" s="95">
        <f>SUM(D6:I6)</f>
        <v/>
      </c>
      <c r="K6" s="67" t="inlineStr">
        <is>
          <t>BA §11.6 L3; 03 MH-SZ-07, 09</t>
        </is>
      </c>
    </row>
    <row r="7" ht="15" customHeight="1" s="58">
      <c r="A7" s="67" t="inlineStr">
        <is>
          <t>M1a</t>
        </is>
      </c>
      <c r="B7" s="67" t="inlineStr">
        <is>
          <t>11 Zalo cá nhân</t>
        </is>
      </c>
      <c r="C7" s="67" t="inlineStr">
        <is>
          <t>Thu hồi tin, mã tin nhóm, giới hạn tần suất</t>
        </is>
      </c>
      <c r="D7" s="113" t="n">
        <v>0.5</v>
      </c>
      <c r="E7" s="113" t="n">
        <v>0</v>
      </c>
      <c r="F7" s="113" t="n">
        <v>1</v>
      </c>
      <c r="G7" s="113" t="n">
        <v>5</v>
      </c>
      <c r="H7" s="113" t="n">
        <v>2</v>
      </c>
      <c r="I7" s="113" t="n">
        <v>0</v>
      </c>
      <c r="J7" s="95">
        <f>SUM(D7:I7)</f>
        <v/>
      </c>
      <c r="K7" s="67" t="inlineStr">
        <is>
          <t>VCL-INT-11</t>
        </is>
      </c>
    </row>
    <row r="8" ht="15" customHeight="1" s="58">
      <c r="A8" s="67" t="inlineStr">
        <is>
          <t>M1a</t>
        </is>
      </c>
      <c r="B8" s="67" t="inlineStr">
        <is>
          <t>11 Zalo cá nhân</t>
        </is>
      </c>
      <c r="C8" s="67" t="inlineStr">
        <is>
          <t>Hồi quy và UAT phân hệ VC Zalo</t>
        </is>
      </c>
      <c r="D8" s="113" t="n">
        <v>2</v>
      </c>
      <c r="E8" s="113" t="n">
        <v>0</v>
      </c>
      <c r="F8" s="113" t="n">
        <v>0</v>
      </c>
      <c r="G8" s="113" t="n">
        <v>0</v>
      </c>
      <c r="H8" s="113" t="n">
        <v>6</v>
      </c>
      <c r="I8" s="113" t="n">
        <v>0</v>
      </c>
      <c r="J8" s="95">
        <f>SUM(D8:I8)</f>
        <v/>
      </c>
      <c r="K8" s="67" t="inlineStr">
        <is>
          <t>03 UAT-SZ (99 ca)</t>
        </is>
      </c>
    </row>
    <row r="9" ht="15" customHeight="1" s="58">
      <c r="A9" s="72" t="inlineStr">
        <is>
          <t>M1a</t>
        </is>
      </c>
      <c r="B9" s="73" t="n"/>
      <c r="C9" s="72" t="inlineStr">
        <is>
          <t>Cộng M1a</t>
        </is>
      </c>
      <c r="D9" s="114">
        <f>SUM(D4:D8)</f>
        <v/>
      </c>
      <c r="E9" s="114">
        <f>SUM(E4:E8)</f>
        <v/>
      </c>
      <c r="F9" s="114">
        <f>SUM(F4:F8)</f>
        <v/>
      </c>
      <c r="G9" s="114">
        <f>SUM(G4:G8)</f>
        <v/>
      </c>
      <c r="H9" s="114">
        <f>SUM(H4:H8)</f>
        <v/>
      </c>
      <c r="I9" s="114">
        <f>SUM(I4:I8)</f>
        <v/>
      </c>
      <c r="J9" s="114">
        <f>SUM(J4:J8)</f>
        <v/>
      </c>
      <c r="K9" s="73" t="n"/>
    </row>
    <row r="10">
      <c r="A10" s="67" t="n"/>
      <c r="B10" s="67" t="n"/>
      <c r="C10" s="67" t="n"/>
      <c r="D10" s="113" t="n"/>
      <c r="E10" s="113" t="n"/>
      <c r="F10" s="113" t="n"/>
      <c r="G10" s="113" t="n"/>
      <c r="H10" s="113" t="n"/>
      <c r="I10" s="113" t="n"/>
      <c r="J10" s="95" t="n"/>
      <c r="K10" s="67" t="n"/>
    </row>
    <row r="11" ht="15" customHeight="1" s="58">
      <c r="A11" s="67" t="inlineStr">
        <is>
          <t>M1b</t>
        </is>
      </c>
      <c r="B11" s="67" t="inlineStr">
        <is>
          <t>Nền tảng chung</t>
        </is>
      </c>
      <c r="C11" s="67" t="inlineStr">
        <is>
          <t>Khung ứng dụng chung: điều hướng, thông báo, Ctrl+K, /me, trang lỗi</t>
        </is>
      </c>
      <c r="D11" s="113" t="n">
        <v>1</v>
      </c>
      <c r="E11" s="113" t="n">
        <v>3</v>
      </c>
      <c r="F11" s="113" t="n">
        <v>8</v>
      </c>
      <c r="G11" s="113" t="n">
        <v>4</v>
      </c>
      <c r="H11" s="113" t="n">
        <v>4</v>
      </c>
      <c r="I11" s="113" t="n">
        <v>0</v>
      </c>
      <c r="J11" s="95">
        <f>SUM(D11:I11)</f>
        <v/>
      </c>
      <c r="K11" s="67" t="inlineStr">
        <is>
          <t>00 MH-UI-01…06</t>
        </is>
      </c>
    </row>
    <row r="12" ht="15" customHeight="1" s="58">
      <c r="A12" s="67" t="inlineStr">
        <is>
          <t>M1b</t>
        </is>
      </c>
      <c r="B12" s="67" t="inlineStr">
        <is>
          <t>Nền tảng chung</t>
        </is>
      </c>
      <c r="C12" s="67" t="inlineStr">
        <is>
          <t>Cây tổ chức, vai trò, ma trận quyền, quyền tạm thời, nhật ký</t>
        </is>
      </c>
      <c r="D12" s="113" t="n">
        <v>3</v>
      </c>
      <c r="E12" s="113" t="n">
        <v>3</v>
      </c>
      <c r="F12" s="113" t="n">
        <v>10</v>
      </c>
      <c r="G12" s="113" t="n">
        <v>12</v>
      </c>
      <c r="H12" s="113" t="n">
        <v>8</v>
      </c>
      <c r="I12" s="113" t="n">
        <v>0</v>
      </c>
      <c r="J12" s="95">
        <f>SUM(D12:I12)</f>
        <v/>
      </c>
      <c r="K12" s="67" t="inlineStr">
        <is>
          <t>01 MH-PQ (15 màn, 124 ca UAT)</t>
        </is>
      </c>
    </row>
    <row r="13" ht="15" customHeight="1" s="58">
      <c r="A13" s="67" t="inlineStr">
        <is>
          <t>M1b</t>
        </is>
      </c>
      <c r="B13" s="67" t="inlineStr">
        <is>
          <t>Nền tảng chung</t>
        </is>
      </c>
      <c r="C13" s="67" t="inlineStr">
        <is>
          <t>Owner, chia hội thoại, bàn giao, trực thay</t>
        </is>
      </c>
      <c r="D13" s="113" t="n">
        <v>2</v>
      </c>
      <c r="E13" s="113" t="n">
        <v>2</v>
      </c>
      <c r="F13" s="113" t="n">
        <v>6</v>
      </c>
      <c r="G13" s="113" t="n">
        <v>8</v>
      </c>
      <c r="H13" s="113" t="n">
        <v>5</v>
      </c>
      <c r="I13" s="113" t="n">
        <v>0</v>
      </c>
      <c r="J13" s="95">
        <f>SUM(D13:I13)</f>
        <v/>
      </c>
      <c r="K13" s="67" t="inlineStr">
        <is>
          <t>BA 5.5; 03 QT-SZ-10/11</t>
        </is>
      </c>
    </row>
    <row r="14" ht="15" customHeight="1" s="58">
      <c r="A14" s="67" t="inlineStr">
        <is>
          <t>M1b</t>
        </is>
      </c>
      <c r="B14" s="67" t="inlineStr">
        <is>
          <t>Nền tảng chung</t>
        </is>
      </c>
      <c r="C14" s="67" t="inlineStr">
        <is>
          <t>Khách hàng 360 cơ bản: hồ sơ, gộp theo D8-05, liên kết mã KH</t>
        </is>
      </c>
      <c r="D14" s="113" t="n">
        <v>2</v>
      </c>
      <c r="E14" s="113" t="n">
        <v>2</v>
      </c>
      <c r="F14" s="113" t="n">
        <v>6</v>
      </c>
      <c r="G14" s="113" t="n">
        <v>8</v>
      </c>
      <c r="H14" s="113" t="n">
        <v>5</v>
      </c>
      <c r="I14" s="113" t="n">
        <v>0</v>
      </c>
      <c r="J14" s="95">
        <f>SUM(D14:I14)</f>
        <v/>
      </c>
      <c r="K14" s="67" t="inlineStr">
        <is>
          <t>02 MH-DK-01…03, 09, 10</t>
        </is>
      </c>
    </row>
    <row r="15" ht="15" customHeight="1" s="58">
      <c r="A15" s="67" t="inlineStr">
        <is>
          <t>M1b</t>
        </is>
      </c>
      <c r="B15" s="67" t="inlineStr">
        <is>
          <t>Nền tảng chung</t>
        </is>
      </c>
      <c r="C15" s="67" t="inlineStr">
        <is>
          <t>Nạp danh mục khách từ VCsales</t>
        </is>
      </c>
      <c r="D15" s="113" t="n">
        <v>1</v>
      </c>
      <c r="E15" s="113" t="n">
        <v>0</v>
      </c>
      <c r="F15" s="113" t="n">
        <v>0</v>
      </c>
      <c r="G15" s="113" t="n">
        <v>5</v>
      </c>
      <c r="H15" s="113" t="n">
        <v>2</v>
      </c>
      <c r="I15" s="113" t="n">
        <v>0</v>
      </c>
      <c r="J15" s="95">
        <f>SUM(D15:I15)</f>
        <v/>
      </c>
      <c r="K15" s="67" t="inlineStr">
        <is>
          <t>D3-09</t>
        </is>
      </c>
    </row>
    <row r="16" ht="15" customHeight="1" s="58">
      <c r="A16" s="67" t="inlineStr">
        <is>
          <t>M1b</t>
        </is>
      </c>
      <c r="B16" s="67" t="inlineStr">
        <is>
          <t>Nền tảng chung</t>
        </is>
      </c>
      <c r="C16" s="67" t="inlineStr">
        <is>
          <t>Nền bảo mật: cổng mức mật, khóa theo khách, tenant_id, connector 24/7</t>
        </is>
      </c>
      <c r="D16" s="113" t="n">
        <v>1</v>
      </c>
      <c r="E16" s="113" t="n">
        <v>0</v>
      </c>
      <c r="F16" s="113" t="n">
        <v>0</v>
      </c>
      <c r="G16" s="113" t="n">
        <v>12</v>
      </c>
      <c r="H16" s="113" t="n">
        <v>4</v>
      </c>
      <c r="I16" s="113" t="n">
        <v>4</v>
      </c>
      <c r="J16" s="95">
        <f>SUM(D16:I16)</f>
        <v/>
      </c>
      <c r="K16" s="67" t="inlineStr">
        <is>
          <t>BA §2.2</t>
        </is>
      </c>
    </row>
    <row r="17" ht="15" customHeight="1" s="58">
      <c r="A17" s="67" t="inlineStr">
        <is>
          <t>M1b</t>
        </is>
      </c>
      <c r="B17" s="67" t="inlineStr">
        <is>
          <t>Nền tảng chung</t>
        </is>
      </c>
      <c r="C17" s="67" t="inlineStr">
        <is>
          <t>Đo baseline KPI</t>
        </is>
      </c>
      <c r="D17" s="113" t="n">
        <v>1</v>
      </c>
      <c r="E17" s="113" t="n">
        <v>0</v>
      </c>
      <c r="F17" s="113" t="n">
        <v>0</v>
      </c>
      <c r="G17" s="113" t="n">
        <v>2</v>
      </c>
      <c r="H17" s="113" t="n">
        <v>1</v>
      </c>
      <c r="I17" s="113" t="n">
        <v>0</v>
      </c>
      <c r="J17" s="95">
        <f>SUM(D17:I17)</f>
        <v/>
      </c>
      <c r="K17" s="67" t="inlineStr">
        <is>
          <t>D2-17</t>
        </is>
      </c>
    </row>
    <row r="18" ht="15" customHeight="1" s="58">
      <c r="A18" s="72" t="inlineStr">
        <is>
          <t>M1b</t>
        </is>
      </c>
      <c r="B18" s="73" t="n"/>
      <c r="C18" s="72" t="inlineStr">
        <is>
          <t>Cộng M1b</t>
        </is>
      </c>
      <c r="D18" s="114">
        <f>SUM(D11:D17)</f>
        <v/>
      </c>
      <c r="E18" s="114">
        <f>SUM(E11:E17)</f>
        <v/>
      </c>
      <c r="F18" s="114">
        <f>SUM(F11:F17)</f>
        <v/>
      </c>
      <c r="G18" s="114">
        <f>SUM(G11:G17)</f>
        <v/>
      </c>
      <c r="H18" s="114">
        <f>SUM(H11:H17)</f>
        <v/>
      </c>
      <c r="I18" s="114">
        <f>SUM(I11:I17)</f>
        <v/>
      </c>
      <c r="J18" s="114">
        <f>SUM(J11:J17)</f>
        <v/>
      </c>
      <c r="K18" s="73" t="n"/>
    </row>
    <row r="19" ht="15" customHeight="1" s="58">
      <c r="A19" s="67" t="n"/>
      <c r="B19" s="67" t="n"/>
      <c r="C19" s="67" t="n"/>
      <c r="D19" s="113" t="n"/>
      <c r="E19" s="113" t="n"/>
      <c r="F19" s="113" t="n"/>
      <c r="G19" s="113" t="n"/>
      <c r="H19" s="113" t="n"/>
      <c r="I19" s="113" t="n"/>
      <c r="J19" s="95" t="n"/>
      <c r="K19" s="67" t="n"/>
    </row>
    <row r="20" ht="15" customHeight="1" s="58">
      <c r="A20" s="67" t="inlineStr">
        <is>
          <t>M1c</t>
        </is>
      </c>
      <c r="B20" s="67" t="inlineStr">
        <is>
          <t>Nền tảng chung</t>
        </is>
      </c>
      <c r="C20" s="67" t="inlineStr">
        <is>
          <t>Tra giá, tồn, gửi báo giá VCsales (adapter ERP)</t>
        </is>
      </c>
      <c r="D20" s="113" t="n">
        <v>2</v>
      </c>
      <c r="E20" s="113" t="n">
        <v>2</v>
      </c>
      <c r="F20" s="113" t="n">
        <v>6</v>
      </c>
      <c r="G20" s="113" t="n">
        <v>10</v>
      </c>
      <c r="H20" s="113" t="n">
        <v>5</v>
      </c>
      <c r="I20" s="113" t="n">
        <v>0</v>
      </c>
      <c r="J20" s="95">
        <f>SUM(D20:I20)</f>
        <v/>
      </c>
      <c r="K20" s="67" t="inlineStr">
        <is>
          <t>F9.1, F9.2, F9.5–F9.7; phụ thuộc TT-01</t>
        </is>
      </c>
    </row>
    <row r="21">
      <c r="A21" s="67" t="inlineStr">
        <is>
          <t>M1c</t>
        </is>
      </c>
      <c r="B21" s="67" t="inlineStr">
        <is>
          <t>Nền tảng chung</t>
        </is>
      </c>
      <c r="C21" s="67" t="inlineStr">
        <is>
          <t>Phiếu báo giá / hậu mãi, hàng việc CSKH, vòng NVKD duyệt ⇄ trả lại</t>
        </is>
      </c>
      <c r="D21" s="113" t="n">
        <v>2</v>
      </c>
      <c r="E21" s="113" t="n">
        <v>2</v>
      </c>
      <c r="F21" s="113" t="n">
        <v>6</v>
      </c>
      <c r="G21" s="113" t="n">
        <v>6</v>
      </c>
      <c r="H21" s="113" t="n">
        <v>4</v>
      </c>
      <c r="I21" s="113" t="n">
        <v>0</v>
      </c>
      <c r="J21" s="95">
        <f>SUM(D21:I21)</f>
        <v/>
      </c>
      <c r="K21" s="67" t="inlineStr">
        <is>
          <t>D9; 03 MH-SZ-15, 04 MH-OA-20</t>
        </is>
      </c>
    </row>
    <row r="22" ht="15" customHeight="1" s="58">
      <c r="A22" s="67" t="inlineStr">
        <is>
          <t>M1c</t>
        </is>
      </c>
      <c r="B22" s="67" t="inlineStr">
        <is>
          <t>Nền tảng chung</t>
        </is>
      </c>
      <c r="C22" s="67" t="inlineStr">
        <is>
          <t>Gợi ý trả lời AI (worker suggest, playbook, chống prompt injection)</t>
        </is>
      </c>
      <c r="D22" s="113" t="n">
        <v>1</v>
      </c>
      <c r="E22" s="113" t="n">
        <v>0</v>
      </c>
      <c r="F22" s="113" t="n">
        <v>3</v>
      </c>
      <c r="G22" s="113" t="n">
        <v>8</v>
      </c>
      <c r="H22" s="113" t="n">
        <v>4</v>
      </c>
      <c r="I22" s="113" t="n">
        <v>0</v>
      </c>
      <c r="J22" s="95">
        <f>SUM(D22:I22)</f>
        <v/>
      </c>
      <c r="K22" s="67" t="inlineStr">
        <is>
          <t>CLAUDE.md §8; F7.3</t>
        </is>
      </c>
    </row>
    <row r="23" ht="15" customHeight="1" s="58">
      <c r="A23" s="67" t="inlineStr">
        <is>
          <t>M1c</t>
        </is>
      </c>
      <c r="B23" s="67" t="inlineStr">
        <is>
          <t>Nền tảng chung</t>
        </is>
      </c>
      <c r="C23" s="67" t="inlineStr">
        <is>
          <t>Ghi âm → chữ, đính kèm lên kho file, tìm kiếm toàn văn</t>
        </is>
      </c>
      <c r="D23" s="113" t="n">
        <v>1</v>
      </c>
      <c r="E23" s="113" t="n">
        <v>0</v>
      </c>
      <c r="F23" s="113" t="n">
        <v>3</v>
      </c>
      <c r="G23" s="113" t="n">
        <v>8</v>
      </c>
      <c r="H23" s="113" t="n">
        <v>3</v>
      </c>
      <c r="I23" s="113" t="n">
        <v>2</v>
      </c>
      <c r="J23" s="95">
        <f>SUM(D23:I23)</f>
        <v/>
      </c>
      <c r="K23" s="67" t="inlineStr">
        <is>
          <t>BA 5.3</t>
        </is>
      </c>
    </row>
    <row r="24" ht="15" customHeight="1" s="58">
      <c r="A24" s="67" t="inlineStr">
        <is>
          <t>M1c</t>
        </is>
      </c>
      <c r="B24" s="67" t="inlineStr">
        <is>
          <t>Nền tảng chung</t>
        </is>
      </c>
      <c r="C24" s="67" t="inlineStr">
        <is>
          <t>Báo cáo cơ bản</t>
        </is>
      </c>
      <c r="D24" s="113" t="n">
        <v>1</v>
      </c>
      <c r="E24" s="113" t="n">
        <v>2</v>
      </c>
      <c r="F24" s="113" t="n">
        <v>5</v>
      </c>
      <c r="G24" s="113" t="n">
        <v>5</v>
      </c>
      <c r="H24" s="113" t="n">
        <v>3</v>
      </c>
      <c r="I24" s="113" t="n">
        <v>0</v>
      </c>
      <c r="J24" s="95">
        <f>SUM(D24:I24)</f>
        <v/>
      </c>
      <c r="K24" s="67" t="inlineStr">
        <is>
          <t>07 MH-BC (phần cơ bản)</t>
        </is>
      </c>
    </row>
    <row r="25" ht="15" customHeight="1" s="58">
      <c r="A25" s="67" t="inlineStr">
        <is>
          <t>M1c</t>
        </is>
      </c>
      <c r="B25" s="67" t="inlineStr">
        <is>
          <t>11 Zalo cá nhân</t>
        </is>
      </c>
      <c r="C25" s="67" t="inlineStr">
        <is>
          <t>Zalo cá nhân L4–L5: thông báo realtime, panel thông tin + kho media, tìm trong hội thoại, video, vị trí, cuộc gọi</t>
        </is>
      </c>
      <c r="D25" s="113" t="n">
        <v>1</v>
      </c>
      <c r="E25" s="113" t="n">
        <v>1</v>
      </c>
      <c r="F25" s="113" t="n">
        <v>4</v>
      </c>
      <c r="G25" s="113" t="n">
        <v>5</v>
      </c>
      <c r="H25" s="113" t="n">
        <v>3</v>
      </c>
      <c r="I25" s="113" t="n">
        <v>0</v>
      </c>
      <c r="J25" s="95">
        <f>SUM(D25:I25)</f>
        <v/>
      </c>
      <c r="K25" s="67" t="inlineStr">
        <is>
          <t>BA §11.6 L4, L5; 03 MH-SZ-10, 11, 14</t>
        </is>
      </c>
    </row>
    <row r="26" ht="15" customHeight="1" s="58">
      <c r="A26" s="72" t="inlineStr">
        <is>
          <t>M1c</t>
        </is>
      </c>
      <c r="B26" s="73" t="n"/>
      <c r="C26" s="72" t="inlineStr">
        <is>
          <t>Cộng M1c</t>
        </is>
      </c>
      <c r="D26" s="114">
        <f>SUM(D20:D25)</f>
        <v/>
      </c>
      <c r="E26" s="114">
        <f>SUM(E20:E25)</f>
        <v/>
      </c>
      <c r="F26" s="114">
        <f>SUM(F20:F25)</f>
        <v/>
      </c>
      <c r="G26" s="114">
        <f>SUM(G20:G25)</f>
        <v/>
      </c>
      <c r="H26" s="114">
        <f>SUM(H20:H25)</f>
        <v/>
      </c>
      <c r="I26" s="114">
        <f>SUM(I20:I25)</f>
        <v/>
      </c>
      <c r="J26" s="114">
        <f>SUM(J20:J25)</f>
        <v/>
      </c>
      <c r="K26" s="73" t="n"/>
    </row>
    <row r="27" ht="15" customHeight="1" s="58">
      <c r="A27" s="67" t="n"/>
      <c r="B27" s="67" t="n"/>
      <c r="C27" s="67" t="n"/>
      <c r="D27" s="113" t="n"/>
      <c r="E27" s="113" t="n"/>
      <c r="F27" s="113" t="n"/>
      <c r="G27" s="113" t="n"/>
      <c r="H27" s="113" t="n"/>
      <c r="I27" s="113" t="n"/>
      <c r="J27" s="95" t="n"/>
      <c r="K27" s="67" t="n"/>
    </row>
    <row r="28" ht="15" customHeight="1" s="58">
      <c r="A28" s="67" t="inlineStr">
        <is>
          <t>M3</t>
        </is>
      </c>
      <c r="B28" s="67" t="inlineStr">
        <is>
          <t>Nền tảng chung</t>
        </is>
      </c>
      <c r="C28" s="67" t="inlineStr">
        <is>
          <t>Khách hàng 360 đủ: khối thương mại, C3 qua adapter, theo dõi báo giá, nhắc mua lại</t>
        </is>
      </c>
      <c r="D28" s="113" t="n">
        <v>3</v>
      </c>
      <c r="E28" s="113" t="n">
        <v>3</v>
      </c>
      <c r="F28" s="113" t="n">
        <v>8</v>
      </c>
      <c r="G28" s="113" t="n">
        <v>12</v>
      </c>
      <c r="H28" s="113" t="n">
        <v>6</v>
      </c>
      <c r="I28" s="113" t="n">
        <v>0</v>
      </c>
      <c r="J28" s="95">
        <f>SUM(D28:I28)</f>
        <v/>
      </c>
      <c r="K28" s="67" t="inlineStr">
        <is>
          <t>BR18, F9.8, F8.4</t>
        </is>
      </c>
    </row>
    <row r="29" ht="15" customHeight="1" s="58">
      <c r="A29" s="67" t="inlineStr">
        <is>
          <t>M3</t>
        </is>
      </c>
      <c r="B29" s="67" t="inlineStr">
        <is>
          <t>Nền tảng chung</t>
        </is>
      </c>
      <c r="C29" s="67" t="inlineStr">
        <is>
          <t>Hóa đơn VAT (VCinvoice) và công nợ</t>
        </is>
      </c>
      <c r="D29" s="113" t="n">
        <v>2</v>
      </c>
      <c r="E29" s="113" t="n">
        <v>3</v>
      </c>
      <c r="F29" s="113" t="n">
        <v>8</v>
      </c>
      <c r="G29" s="113" t="n">
        <v>10</v>
      </c>
      <c r="H29" s="113" t="n">
        <v>6</v>
      </c>
      <c r="I29" s="113" t="n">
        <v>0</v>
      </c>
      <c r="J29" s="95">
        <f>SUM(D29:I29)</f>
        <v/>
      </c>
      <c r="K29" s="67" t="inlineStr">
        <is>
          <t>06 MH-HD-01…13</t>
        </is>
      </c>
    </row>
    <row r="30">
      <c r="A30" s="67" t="inlineStr">
        <is>
          <t>M3</t>
        </is>
      </c>
      <c r="B30" s="67" t="inlineStr">
        <is>
          <t>Nền tảng chung</t>
        </is>
      </c>
      <c r="C30" s="67" t="inlineStr">
        <is>
          <t>VCdms trong VCsales</t>
        </is>
      </c>
      <c r="D30" s="113" t="n">
        <v>1</v>
      </c>
      <c r="E30" s="113" t="n">
        <v>0</v>
      </c>
      <c r="F30" s="113" t="n">
        <v>3</v>
      </c>
      <c r="G30" s="113" t="n">
        <v>6</v>
      </c>
      <c r="H30" s="113" t="n">
        <v>3</v>
      </c>
      <c r="I30" s="113" t="n">
        <v>0</v>
      </c>
      <c r="J30" s="95">
        <f>SUM(D30:I30)</f>
        <v/>
      </c>
      <c r="K30" s="67" t="inlineStr">
        <is>
          <t>F9.10, F9.12, F9.13</t>
        </is>
      </c>
    </row>
    <row r="31" ht="15" customHeight="1" s="58">
      <c r="A31" s="67" t="inlineStr">
        <is>
          <t>M3</t>
        </is>
      </c>
      <c r="B31" s="67" t="inlineStr">
        <is>
          <t>Nền tảng chung</t>
        </is>
      </c>
      <c r="C31" s="67" t="inlineStr">
        <is>
          <t>MCP cho nhân viên</t>
        </is>
      </c>
      <c r="D31" s="113" t="n">
        <v>1</v>
      </c>
      <c r="E31" s="113" t="n">
        <v>0</v>
      </c>
      <c r="F31" s="113" t="n">
        <v>0</v>
      </c>
      <c r="G31" s="113" t="n">
        <v>6</v>
      </c>
      <c r="H31" s="113" t="n">
        <v>3</v>
      </c>
      <c r="I31" s="113" t="n">
        <v>0</v>
      </c>
      <c r="J31" s="95">
        <f>SUM(D31:I31)</f>
        <v/>
      </c>
      <c r="K31" s="67" t="inlineStr">
        <is>
          <t>BA §1.2</t>
        </is>
      </c>
    </row>
    <row r="32" ht="15" customHeight="1" s="58">
      <c r="A32" s="67" t="inlineStr">
        <is>
          <t>M3</t>
        </is>
      </c>
      <c r="B32" s="67" t="inlineStr">
        <is>
          <t>Nền tảng chung</t>
        </is>
      </c>
      <c r="C32" s="67" t="inlineStr">
        <is>
          <t>App điện thoại</t>
        </is>
      </c>
      <c r="D32" s="113" t="n">
        <v>3</v>
      </c>
      <c r="E32" s="113" t="n">
        <v>8</v>
      </c>
      <c r="F32" s="113" t="n">
        <v>30</v>
      </c>
      <c r="G32" s="113" t="n">
        <v>5</v>
      </c>
      <c r="H32" s="113" t="n">
        <v>10</v>
      </c>
      <c r="I32" s="113" t="n">
        <v>0</v>
      </c>
      <c r="J32" s="95">
        <f>SUM(D32:I32)</f>
        <v/>
      </c>
      <c r="K32" s="67" t="inlineStr">
        <is>
          <t>QĐ-01 chưa chốt</t>
        </is>
      </c>
    </row>
    <row r="33" ht="15" customHeight="1" s="58">
      <c r="A33" s="67" t="inlineStr">
        <is>
          <t>M3</t>
        </is>
      </c>
      <c r="B33" s="67" t="inlineStr">
        <is>
          <t>Nền tảng chung</t>
        </is>
      </c>
      <c r="C33" s="67" t="inlineStr">
        <is>
          <t>AI chạy tại chỗ cho dữ liệu C3</t>
        </is>
      </c>
      <c r="D33" s="113" t="n">
        <v>1</v>
      </c>
      <c r="E33" s="113" t="n">
        <v>0</v>
      </c>
      <c r="F33" s="113" t="n">
        <v>0</v>
      </c>
      <c r="G33" s="113" t="n">
        <v>8</v>
      </c>
      <c r="H33" s="113" t="n">
        <v>2</v>
      </c>
      <c r="I33" s="113" t="n">
        <v>4</v>
      </c>
      <c r="J33" s="95">
        <f>SUM(D33:I33)</f>
        <v/>
      </c>
      <c r="K33" s="67" t="inlineStr">
        <is>
          <t>BA §19 M3</t>
        </is>
      </c>
    </row>
    <row r="34" ht="15" customHeight="1" s="58">
      <c r="A34" s="72" t="inlineStr">
        <is>
          <t>M3</t>
        </is>
      </c>
      <c r="B34" s="73" t="n"/>
      <c r="C34" s="72" t="inlineStr">
        <is>
          <t>Cộng M3</t>
        </is>
      </c>
      <c r="D34" s="114">
        <f>SUM(D28:D33)</f>
        <v/>
      </c>
      <c r="E34" s="114">
        <f>SUM(E28:E33)</f>
        <v/>
      </c>
      <c r="F34" s="114">
        <f>SUM(F28:F33)</f>
        <v/>
      </c>
      <c r="G34" s="114">
        <f>SUM(G28:G33)</f>
        <v/>
      </c>
      <c r="H34" s="114">
        <f>SUM(H28:H33)</f>
        <v/>
      </c>
      <c r="I34" s="114">
        <f>SUM(I28:I33)</f>
        <v/>
      </c>
      <c r="J34" s="114">
        <f>SUM(J28:J33)</f>
        <v/>
      </c>
      <c r="K34" s="73" t="n"/>
    </row>
    <row r="35" ht="15" customHeight="1" s="58">
      <c r="A35" s="67" t="n"/>
      <c r="B35" s="67" t="n"/>
      <c r="C35" s="67" t="n"/>
      <c r="D35" s="113" t="n"/>
      <c r="E35" s="113" t="n"/>
      <c r="F35" s="113" t="n"/>
      <c r="G35" s="113" t="n"/>
      <c r="H35" s="113" t="n"/>
      <c r="I35" s="113" t="n"/>
      <c r="J35" s="95" t="n"/>
      <c r="K35" s="67" t="n"/>
    </row>
    <row r="36" ht="15" customHeight="1" s="58">
      <c r="A36" s="67" t="inlineStr">
        <is>
          <t>M2</t>
        </is>
      </c>
      <c r="B36" s="67" t="inlineStr">
        <is>
          <t>Nền tảng chung</t>
        </is>
      </c>
      <c r="C36" s="67" t="inlineStr">
        <is>
          <t>Phân loại AI → phiếu việc, cảm xúc, leo thang, AI tự tạo phiếu báo giá</t>
        </is>
      </c>
      <c r="D36" s="113" t="n">
        <v>3</v>
      </c>
      <c r="E36" s="113" t="n">
        <v>2</v>
      </c>
      <c r="F36" s="113" t="n">
        <v>6</v>
      </c>
      <c r="G36" s="113" t="n">
        <v>12</v>
      </c>
      <c r="H36" s="113" t="n">
        <v>6</v>
      </c>
      <c r="I36" s="113" t="n">
        <v>0</v>
      </c>
      <c r="J36" s="95">
        <f>SUM(D36:I36)</f>
        <v/>
      </c>
      <c r="K36" s="67" t="inlineStr">
        <is>
          <t>F9.14, D9-05</t>
        </is>
      </c>
    </row>
    <row r="37" ht="15" customHeight="1" s="58">
      <c r="A37" s="67" t="inlineStr">
        <is>
          <t>M2</t>
        </is>
      </c>
      <c r="B37" s="67" t="inlineStr">
        <is>
          <t>Nền tảng chung</t>
        </is>
      </c>
      <c r="C37" s="67" t="inlineStr">
        <is>
          <t>NĐ 13 vận hành, xuất dữ liệu</t>
        </is>
      </c>
      <c r="D37" s="113" t="n">
        <v>1</v>
      </c>
      <c r="E37" s="113" t="n">
        <v>0</v>
      </c>
      <c r="F37" s="113" t="n">
        <v>3</v>
      </c>
      <c r="G37" s="113" t="n">
        <v>5</v>
      </c>
      <c r="H37" s="113" t="n">
        <v>3</v>
      </c>
      <c r="I37" s="113" t="n">
        <v>0</v>
      </c>
      <c r="J37" s="95">
        <f>SUM(D37:I37)</f>
        <v/>
      </c>
      <c r="K37" s="67" t="inlineStr">
        <is>
          <t>01 MH-PQ-12…14</t>
        </is>
      </c>
    </row>
    <row r="38" ht="15" customHeight="1" s="58">
      <c r="A38" s="67" t="inlineStr">
        <is>
          <t>M2</t>
        </is>
      </c>
      <c r="B38" s="67" t="inlineStr">
        <is>
          <t>Nền tảng chung</t>
        </is>
      </c>
      <c r="C38" s="67" t="inlineStr">
        <is>
          <t>Bật VCsoft, VCe</t>
        </is>
      </c>
      <c r="D38" s="113" t="n">
        <v>1</v>
      </c>
      <c r="E38" s="113" t="n">
        <v>0</v>
      </c>
      <c r="F38" s="113" t="n">
        <v>0</v>
      </c>
      <c r="G38" s="113" t="n">
        <v>2</v>
      </c>
      <c r="H38" s="113" t="n">
        <v>2</v>
      </c>
      <c r="I38" s="113" t="n">
        <v>1</v>
      </c>
      <c r="J38" s="95">
        <f>SUM(D38:I38)</f>
        <v/>
      </c>
      <c r="K38" s="67" t="inlineStr">
        <is>
          <t>D5-11</t>
        </is>
      </c>
    </row>
    <row r="39" ht="15" customHeight="1" s="58">
      <c r="A39" s="67" t="inlineStr">
        <is>
          <t>M2</t>
        </is>
      </c>
      <c r="B39" s="67" t="inlineStr">
        <is>
          <t>11 Zalo cá nhân</t>
        </is>
      </c>
      <c r="C39" s="67" t="inlineStr">
        <is>
          <t>Zalo cá nhân L6–L7: nhóm chat, gán nhãn, thu hồi, chuyển tiếp, thả cảm xúc</t>
        </is>
      </c>
      <c r="D39" s="113" t="n">
        <v>1</v>
      </c>
      <c r="E39" s="113" t="n">
        <v>1</v>
      </c>
      <c r="F39" s="113" t="n">
        <v>4</v>
      </c>
      <c r="G39" s="113" t="n">
        <v>5</v>
      </c>
      <c r="H39" s="113" t="n">
        <v>3</v>
      </c>
      <c r="I39" s="113" t="n">
        <v>0</v>
      </c>
      <c r="J39" s="95">
        <f>SUM(D39:I39)</f>
        <v/>
      </c>
      <c r="K39" s="67" t="inlineStr">
        <is>
          <t>BA §11.6 L6, L7</t>
        </is>
      </c>
    </row>
    <row r="40" ht="15" customHeight="1" s="58">
      <c r="A40" s="67" t="inlineStr">
        <is>
          <t>M2</t>
        </is>
      </c>
      <c r="B40" s="67" t="inlineStr">
        <is>
          <t>Nền tảng chung</t>
        </is>
      </c>
      <c r="C40" s="67" t="inlineStr">
        <is>
          <t>Dashboard đủ, báo cáo tháng, so sánh nhóm, phân tích liên kênh</t>
        </is>
      </c>
      <c r="D40" s="113" t="n">
        <v>2</v>
      </c>
      <c r="E40" s="113" t="n">
        <v>3</v>
      </c>
      <c r="F40" s="113" t="n">
        <v>6</v>
      </c>
      <c r="G40" s="113" t="n">
        <v>4</v>
      </c>
      <c r="H40" s="113" t="n">
        <v>3</v>
      </c>
      <c r="I40" s="113" t="n">
        <v>0</v>
      </c>
      <c r="J40" s="95">
        <f>SUM(D40:I40)</f>
        <v/>
      </c>
      <c r="K40" s="67" t="inlineStr">
        <is>
          <t>07; BA §19 M4</t>
        </is>
      </c>
    </row>
    <row r="41" ht="15" customHeight="1" s="58">
      <c r="A41" s="67" t="inlineStr">
        <is>
          <t>M2</t>
        </is>
      </c>
      <c r="B41" s="67" t="inlineStr">
        <is>
          <t>Nền tảng chung</t>
        </is>
      </c>
      <c r="C41" s="67" t="inlineStr">
        <is>
          <t>Kèm cặp, hội thoại mẫu sang VCwiki</t>
        </is>
      </c>
      <c r="D41" s="113" t="n">
        <v>1</v>
      </c>
      <c r="E41" s="113" t="n">
        <v>1</v>
      </c>
      <c r="F41" s="113" t="n">
        <v>2</v>
      </c>
      <c r="G41" s="113" t="n">
        <v>3</v>
      </c>
      <c r="H41" s="113" t="n">
        <v>2</v>
      </c>
      <c r="I41" s="113" t="n">
        <v>0</v>
      </c>
      <c r="J41" s="95">
        <f>SUM(D41:I41)</f>
        <v/>
      </c>
      <c r="K41" s="67" t="inlineStr">
        <is>
          <t>F15.13</t>
        </is>
      </c>
    </row>
    <row r="42" ht="15" customHeight="1" s="58">
      <c r="A42" s="67" t="inlineStr">
        <is>
          <t>M2</t>
        </is>
      </c>
      <c r="B42" s="67" t="inlineStr">
        <is>
          <t>Nền tảng chung</t>
        </is>
      </c>
      <c r="C42" s="67" t="inlineStr">
        <is>
          <t>Deal VCedu / B2B, tenant không ERP</t>
        </is>
      </c>
      <c r="D42" s="113" t="n">
        <v>2</v>
      </c>
      <c r="E42" s="113" t="n">
        <v>2</v>
      </c>
      <c r="F42" s="113" t="n">
        <v>6</v>
      </c>
      <c r="G42" s="113" t="n">
        <v>10</v>
      </c>
      <c r="H42" s="113" t="n">
        <v>5</v>
      </c>
      <c r="I42" s="113" t="n">
        <v>2</v>
      </c>
      <c r="J42" s="95">
        <f>SUM(D42:I42)</f>
        <v/>
      </c>
      <c r="K42" s="67" t="inlineStr">
        <is>
          <t>D5-14</t>
        </is>
      </c>
    </row>
    <row r="43" ht="15" customHeight="1" s="58">
      <c r="A43" s="67" t="inlineStr">
        <is>
          <t>M2</t>
        </is>
      </c>
      <c r="B43" s="67" t="inlineStr">
        <is>
          <t>11 Zalo cá nhân</t>
        </is>
      </c>
      <c r="C43" s="67" t="inlineStr">
        <is>
          <t>Zalo cá nhân: L7 còn lại (quản trị nhóm nâng cao, định dạng tin); giám sát nick: nhịp gửi, phiên rớt, tỷ lệ trả lời</t>
        </is>
      </c>
      <c r="D43" s="113" t="n">
        <v>1</v>
      </c>
      <c r="E43" s="113" t="n">
        <v>1</v>
      </c>
      <c r="F43" s="113" t="n">
        <v>3</v>
      </c>
      <c r="G43" s="113" t="n">
        <v>4</v>
      </c>
      <c r="H43" s="113" t="n">
        <v>2</v>
      </c>
      <c r="I43" s="113" t="n">
        <v>0</v>
      </c>
      <c r="J43" s="95">
        <f>SUM(D43:I43)</f>
        <v/>
      </c>
      <c r="K43" s="67" t="inlineStr">
        <is>
          <t>BA §11.6 L7</t>
        </is>
      </c>
    </row>
    <row r="44" ht="15" customHeight="1" s="58">
      <c r="A44" s="72" t="inlineStr">
        <is>
          <t>M2</t>
        </is>
      </c>
      <c r="B44" s="73" t="n"/>
      <c r="C44" s="72" t="inlineStr">
        <is>
          <t>Cộng M2</t>
        </is>
      </c>
      <c r="D44" s="114">
        <f>SUM(D36:D43)</f>
        <v/>
      </c>
      <c r="E44" s="114">
        <f>SUM(E36:E43)</f>
        <v/>
      </c>
      <c r="F44" s="114">
        <f>SUM(F36:F43)</f>
        <v/>
      </c>
      <c r="G44" s="114">
        <f>SUM(G36:G43)</f>
        <v/>
      </c>
      <c r="H44" s="114">
        <f>SUM(H36:H43)</f>
        <v/>
      </c>
      <c r="I44" s="114">
        <f>SUM(I36:I43)</f>
        <v/>
      </c>
      <c r="J44" s="114">
        <f>SUM(J36:J43)</f>
        <v/>
      </c>
      <c r="K44" s="73" t="n"/>
    </row>
    <row r="45">
      <c r="A45" s="67" t="n"/>
      <c r="B45" s="67" t="n"/>
      <c r="C45" s="67" t="n"/>
      <c r="D45" s="113" t="n"/>
      <c r="E45" s="113" t="n"/>
      <c r="F45" s="113" t="n"/>
      <c r="G45" s="113" t="n"/>
      <c r="H45" s="113" t="n"/>
      <c r="I45" s="113" t="n"/>
      <c r="J45" s="95" t="n"/>
      <c r="K45" s="67" t="n"/>
    </row>
    <row r="46" ht="15" customHeight="1" s="58">
      <c r="A46" s="67" t="inlineStr">
        <is>
          <t>M4</t>
        </is>
      </c>
      <c r="B46" s="67" t="inlineStr">
        <is>
          <t>13 Zalo OA</t>
        </is>
      </c>
      <c r="C46" s="67" t="inlineStr">
        <is>
          <t>Zalo OA: nối OA thật, webhook, gửi phía server, kiểm tra chính sách</t>
        </is>
      </c>
      <c r="D46" s="113" t="n">
        <v>1</v>
      </c>
      <c r="E46" s="113" t="n">
        <v>0</v>
      </c>
      <c r="F46" s="113" t="n">
        <v>2</v>
      </c>
      <c r="G46" s="113" t="n">
        <v>5</v>
      </c>
      <c r="H46" s="113" t="n">
        <v>3</v>
      </c>
      <c r="I46" s="113" t="n">
        <v>1</v>
      </c>
      <c r="J46" s="95">
        <f>SUM(D46:I46)</f>
        <v/>
      </c>
      <c r="K46" s="67" t="inlineStr">
        <is>
          <t>BA §13; 04 MH-OA-01</t>
        </is>
      </c>
    </row>
    <row r="47" ht="15" customHeight="1" s="58">
      <c r="A47" s="67" t="inlineStr">
        <is>
          <t>M4</t>
        </is>
      </c>
      <c r="B47" s="67" t="inlineStr">
        <is>
          <t>13 Zalo OA</t>
        </is>
      </c>
      <c r="C47" s="67" t="inlineStr">
        <is>
          <t>Zalo OA: cửa sổ gửi + chặn, yêu cầu chia sẻ thông tin, gửi báo giá qua OA</t>
        </is>
      </c>
      <c r="D47" s="113" t="n">
        <v>1</v>
      </c>
      <c r="E47" s="113" t="n">
        <v>1</v>
      </c>
      <c r="F47" s="113" t="n">
        <v>3</v>
      </c>
      <c r="G47" s="113" t="n">
        <v>4</v>
      </c>
      <c r="H47" s="113" t="n">
        <v>3</v>
      </c>
      <c r="I47" s="113" t="n">
        <v>0</v>
      </c>
      <c r="J47" s="95">
        <f>SUM(D47:I47)</f>
        <v/>
      </c>
      <c r="K47" s="67" t="inlineStr">
        <is>
          <t>BA §13 C3–C5; 04</t>
        </is>
      </c>
    </row>
    <row r="48" ht="15" customHeight="1" s="58">
      <c r="A48" s="67" t="inlineStr">
        <is>
          <t>M4</t>
        </is>
      </c>
      <c r="B48" s="67" t="inlineStr">
        <is>
          <t>13 Zalo OA</t>
        </is>
      </c>
      <c r="C48" s="67" t="inlineStr">
        <is>
          <t>Zalo OA: CSKH trực OA, ticket, SLA 15 phút</t>
        </is>
      </c>
      <c r="D48" s="113" t="n">
        <v>2</v>
      </c>
      <c r="E48" s="113" t="n">
        <v>3</v>
      </c>
      <c r="F48" s="113" t="n">
        <v>10</v>
      </c>
      <c r="G48" s="113" t="n">
        <v>10</v>
      </c>
      <c r="H48" s="113" t="n">
        <v>8</v>
      </c>
      <c r="I48" s="113" t="n">
        <v>0</v>
      </c>
      <c r="J48" s="95">
        <f>SUM(D48:I48)</f>
        <v/>
      </c>
      <c r="K48" s="67" t="inlineStr">
        <is>
          <t>BA §13; 04 MH-OA-02…08, 18 (170 ca UAT)</t>
        </is>
      </c>
    </row>
    <row r="49" ht="15" customHeight="1" s="58">
      <c r="A49" s="67" t="inlineStr">
        <is>
          <t>M4</t>
        </is>
      </c>
      <c r="B49" s="67" t="inlineStr">
        <is>
          <t>13 Zalo OA</t>
        </is>
      </c>
      <c r="C49" s="67" t="inlineStr">
        <is>
          <t>Zalo OA: bot ngoài giờ, menu OA, chatbot nút bấm</t>
        </is>
      </c>
      <c r="D49" s="113" t="n">
        <v>1</v>
      </c>
      <c r="E49" s="113" t="n">
        <v>1</v>
      </c>
      <c r="F49" s="113" t="n">
        <v>3</v>
      </c>
      <c r="G49" s="113" t="n">
        <v>4</v>
      </c>
      <c r="H49" s="113" t="n">
        <v>2</v>
      </c>
      <c r="I49" s="113" t="n">
        <v>0</v>
      </c>
      <c r="J49" s="95">
        <f>SUM(D49:I49)</f>
        <v/>
      </c>
      <c r="K49" s="67" t="inlineStr">
        <is>
          <t>BA §13; F7.1, F7.2; D4-16</t>
        </is>
      </c>
    </row>
    <row r="50" ht="15" customHeight="1" s="58">
      <c r="A50" s="67" t="inlineStr">
        <is>
          <t>M4</t>
        </is>
      </c>
      <c r="B50" s="67" t="inlineStr">
        <is>
          <t>13 Zalo OA</t>
        </is>
      </c>
      <c r="C50" s="67" t="inlineStr">
        <is>
          <t>Zalo OA: ZNS (có điều kiện, QĐ-03)</t>
        </is>
      </c>
      <c r="D50" s="113" t="n">
        <v>1</v>
      </c>
      <c r="E50" s="113" t="n">
        <v>1</v>
      </c>
      <c r="F50" s="113" t="n">
        <v>2</v>
      </c>
      <c r="G50" s="113" t="n">
        <v>3</v>
      </c>
      <c r="H50" s="113" t="n">
        <v>2</v>
      </c>
      <c r="I50" s="113" t="n">
        <v>0</v>
      </c>
      <c r="J50" s="95">
        <f>SUM(D50:I50)</f>
        <v/>
      </c>
      <c r="K50" s="67" t="inlineStr">
        <is>
          <t>BA §13; 04 MH-OA-09…</t>
        </is>
      </c>
    </row>
    <row r="51" ht="15" customHeight="1" s="58">
      <c r="A51" s="67" t="inlineStr">
        <is>
          <t>M4</t>
        </is>
      </c>
      <c r="B51" s="67" t="inlineStr">
        <is>
          <t>13 Zalo OA</t>
        </is>
      </c>
      <c r="C51" s="67" t="inlineStr">
        <is>
          <t>Zalo OA: quảng cáo, nuôi lead qua OA</t>
        </is>
      </c>
      <c r="D51" s="113" t="n">
        <v>1</v>
      </c>
      <c r="E51" s="113" t="n">
        <v>1</v>
      </c>
      <c r="F51" s="113" t="n">
        <v>3</v>
      </c>
      <c r="G51" s="113" t="n">
        <v>3</v>
      </c>
      <c r="H51" s="113" t="n">
        <v>2</v>
      </c>
      <c r="I51" s="113" t="n">
        <v>0</v>
      </c>
      <c r="J51" s="95">
        <f>SUM(D51:I51)</f>
        <v/>
      </c>
      <c r="K51" s="67" t="inlineStr">
        <is>
          <t>05 MH-MK</t>
        </is>
      </c>
    </row>
    <row r="52" ht="15" customHeight="1" s="58">
      <c r="A52" s="67" t="inlineStr">
        <is>
          <t>M4</t>
        </is>
      </c>
      <c r="B52" s="67" t="inlineStr">
        <is>
          <t>13 Zalo OA</t>
        </is>
      </c>
      <c r="C52" s="67" t="inlineStr">
        <is>
          <t>Zalo OA: chiến dịch theo phân khúc, khảo sát hài lòng, báo cáo chiến dịch và OA</t>
        </is>
      </c>
      <c r="D52" s="113" t="n">
        <v>2</v>
      </c>
      <c r="E52" s="113" t="n">
        <v>2</v>
      </c>
      <c r="F52" s="113" t="n">
        <v>4</v>
      </c>
      <c r="G52" s="113" t="n">
        <v>5</v>
      </c>
      <c r="H52" s="113" t="n">
        <v>3</v>
      </c>
      <c r="I52" s="113" t="n">
        <v>0</v>
      </c>
      <c r="J52" s="95">
        <f>SUM(D52:I52)</f>
        <v/>
      </c>
      <c r="K52" s="67" t="inlineStr">
        <is>
          <t>BA §13; F8.5</t>
        </is>
      </c>
    </row>
    <row r="53" ht="15" customHeight="1" s="58">
      <c r="A53" s="67" t="inlineStr">
        <is>
          <t>M4</t>
        </is>
      </c>
      <c r="B53" s="67" t="inlineStr">
        <is>
          <t>14 Fanpage</t>
        </is>
      </c>
      <c r="C53" s="67" t="inlineStr">
        <is>
          <t>Fanpage — Messenger: nối Page thật, cửa sổ 24h + HUMAN_AGENT, gửi báo giá, App Review Meta</t>
        </is>
      </c>
      <c r="D53" s="113" t="n">
        <v>2</v>
      </c>
      <c r="E53" s="113" t="n">
        <v>1</v>
      </c>
      <c r="F53" s="113" t="n">
        <v>4</v>
      </c>
      <c r="G53" s="113" t="n">
        <v>7</v>
      </c>
      <c r="H53" s="113" t="n">
        <v>4</v>
      </c>
      <c r="I53" s="113" t="n">
        <v>1</v>
      </c>
      <c r="J53" s="95">
        <f>SUM(D53:I53)</f>
        <v/>
      </c>
      <c r="K53" s="67" t="inlineStr">
        <is>
          <t>BA §14; 05 §2.2a; D5-12</t>
        </is>
      </c>
    </row>
    <row r="54">
      <c r="A54" s="67" t="inlineStr">
        <is>
          <t>M4</t>
        </is>
      </c>
      <c r="B54" s="67" t="inlineStr">
        <is>
          <t>14 Fanpage</t>
        </is>
      </c>
      <c r="C54" s="67" t="inlineStr">
        <is>
          <t>Fanpage — bình luận: nhận, trả lời, ẩn, chuyển sang tin nhắn riêng</t>
        </is>
      </c>
      <c r="D54" s="113" t="n">
        <v>1</v>
      </c>
      <c r="E54" s="113" t="n">
        <v>2</v>
      </c>
      <c r="F54" s="113" t="n">
        <v>4</v>
      </c>
      <c r="G54" s="113" t="n">
        <v>5</v>
      </c>
      <c r="H54" s="113" t="n">
        <v>3</v>
      </c>
      <c r="I54" s="113" t="n">
        <v>0</v>
      </c>
      <c r="J54" s="95">
        <f>SUM(D54:I54)</f>
        <v/>
      </c>
      <c r="K54" s="67" t="inlineStr">
        <is>
          <t>BA §14; F6.1–F6.4</t>
        </is>
      </c>
    </row>
    <row r="55" ht="15" customHeight="1" s="58">
      <c r="A55" s="67" t="inlineStr">
        <is>
          <t>M4</t>
        </is>
      </c>
      <c r="B55" s="67" t="inlineStr">
        <is>
          <t>14 Fanpage</t>
        </is>
      </c>
      <c r="C55" s="67" t="inlineStr">
        <is>
          <t>Fanpage: bot ngoài giờ, chatbot nút bấm</t>
        </is>
      </c>
      <c r="D55" s="113" t="n">
        <v>1</v>
      </c>
      <c r="E55" s="113" t="n">
        <v>0</v>
      </c>
      <c r="F55" s="113" t="n">
        <v>2</v>
      </c>
      <c r="G55" s="113" t="n">
        <v>3</v>
      </c>
      <c r="H55" s="113" t="n">
        <v>2</v>
      </c>
      <c r="I55" s="113" t="n">
        <v>0</v>
      </c>
      <c r="J55" s="95">
        <f>SUM(D55:I55)</f>
        <v/>
      </c>
      <c r="K55" s="67" t="inlineStr">
        <is>
          <t>BA §14; D4-16</t>
        </is>
      </c>
    </row>
    <row r="56" ht="15" customHeight="1" s="58">
      <c r="A56" s="67" t="inlineStr">
        <is>
          <t>M4</t>
        </is>
      </c>
      <c r="B56" s="67" t="inlineStr">
        <is>
          <t>14 Fanpage</t>
        </is>
      </c>
      <c r="C56" s="67" t="inlineStr">
        <is>
          <t>Fanpage: quảng cáo click-to-message, lead form, gắn nguồn lead</t>
        </is>
      </c>
      <c r="D56" s="113" t="n">
        <v>1</v>
      </c>
      <c r="E56" s="113" t="n">
        <v>2</v>
      </c>
      <c r="F56" s="113" t="n">
        <v>5</v>
      </c>
      <c r="G56" s="113" t="n">
        <v>5</v>
      </c>
      <c r="H56" s="113" t="n">
        <v>4</v>
      </c>
      <c r="I56" s="113" t="n">
        <v>0</v>
      </c>
      <c r="J56" s="95">
        <f>SUM(D56:I56)</f>
        <v/>
      </c>
      <c r="K56" s="67" t="inlineStr">
        <is>
          <t>05 MH-MK</t>
        </is>
      </c>
    </row>
    <row r="57" ht="15" customHeight="1" s="58">
      <c r="A57" s="67" t="inlineStr">
        <is>
          <t>M4</t>
        </is>
      </c>
      <c r="B57" s="67" t="inlineStr">
        <is>
          <t>14 Fanpage</t>
        </is>
      </c>
      <c r="C57" s="67" t="inlineStr">
        <is>
          <t>Fanpage: chiến dịch tin nhắn trong cửa sổ cho phép, khảo sát, báo cáo Page và nguồn lead</t>
        </is>
      </c>
      <c r="D57" s="113" t="n">
        <v>2</v>
      </c>
      <c r="E57" s="113" t="n">
        <v>2</v>
      </c>
      <c r="F57" s="113" t="n">
        <v>4</v>
      </c>
      <c r="G57" s="113" t="n">
        <v>5</v>
      </c>
      <c r="H57" s="113" t="n">
        <v>3</v>
      </c>
      <c r="I57" s="113" t="n">
        <v>0</v>
      </c>
      <c r="J57" s="95">
        <f>SUM(D57:I57)</f>
        <v/>
      </c>
      <c r="K57" s="67" t="inlineStr">
        <is>
          <t>BA §14; F8.5</t>
        </is>
      </c>
    </row>
    <row r="58" ht="15" customHeight="1" s="58">
      <c r="A58" s="67" t="inlineStr">
        <is>
          <t>M4</t>
        </is>
      </c>
      <c r="B58" s="67" t="inlineStr">
        <is>
          <t>12 Facebook cá nhân</t>
        </is>
      </c>
      <c r="C58" s="67" t="inlineStr">
        <is>
          <t>Facebook cá nhân (có điều kiện, OQ-42): nối nick thật, nhận text/ảnh/file, gửi text, trạng thái, đối chiếu đồng bộ</t>
        </is>
      </c>
      <c r="D58" s="113" t="n">
        <v>1</v>
      </c>
      <c r="E58" s="113" t="n">
        <v>1</v>
      </c>
      <c r="F58" s="113" t="n">
        <v>3</v>
      </c>
      <c r="G58" s="113" t="n">
        <v>6</v>
      </c>
      <c r="H58" s="113" t="n">
        <v>4</v>
      </c>
      <c r="I58" s="113" t="n">
        <v>1</v>
      </c>
      <c r="J58" s="95">
        <f>SUM(D58:I58)</f>
        <v/>
      </c>
      <c r="K58" s="67" t="inlineStr">
        <is>
          <t>BA §12; apps/extension/src/messenger</t>
        </is>
      </c>
    </row>
    <row r="59" ht="15" customHeight="1" s="58">
      <c r="A59" s="67" t="inlineStr">
        <is>
          <t>M4</t>
        </is>
      </c>
      <c r="B59" s="67" t="inlineStr">
        <is>
          <t>12 Facebook cá nhân</t>
        </is>
      </c>
      <c r="C59" s="67" t="inlineStr">
        <is>
          <t>Facebook cá nhân (có điều kiện): gửi ảnh/file, giám sát nick, báo cáo kênh</t>
        </is>
      </c>
      <c r="D59" s="113" t="n">
        <v>1</v>
      </c>
      <c r="E59" s="113" t="n">
        <v>0</v>
      </c>
      <c r="F59" s="113" t="n">
        <v>2</v>
      </c>
      <c r="G59" s="113" t="n">
        <v>4</v>
      </c>
      <c r="H59" s="113" t="n">
        <v>2</v>
      </c>
      <c r="I59" s="113" t="n">
        <v>0</v>
      </c>
      <c r="J59" s="95">
        <f>SUM(D59:I59)</f>
        <v/>
      </c>
      <c r="K59" s="67" t="inlineStr">
        <is>
          <t>BA §12</t>
        </is>
      </c>
    </row>
    <row r="60" ht="15" customHeight="1" s="58">
      <c r="A60" s="67" t="inlineStr">
        <is>
          <t>M4</t>
        </is>
      </c>
      <c r="B60" s="67" t="inlineStr">
        <is>
          <t>15 Email</t>
        </is>
      </c>
      <c r="C60" s="67" t="inlineStr">
        <is>
          <t>Email (Gmail API, chỉ đọc): hộp thư chung sales@, cskh@, lọc theo contact, dòng thời gian 360</t>
        </is>
      </c>
      <c r="D60" s="113" t="n">
        <v>1</v>
      </c>
      <c r="E60" s="113" t="n">
        <v>0</v>
      </c>
      <c r="F60" s="113" t="n">
        <v>2</v>
      </c>
      <c r="G60" s="113" t="n">
        <v>6</v>
      </c>
      <c r="H60" s="113" t="n">
        <v>2</v>
      </c>
      <c r="I60" s="113" t="n">
        <v>1</v>
      </c>
      <c r="J60" s="95">
        <f>SUM(D60:I60)</f>
        <v/>
      </c>
      <c r="K60" s="67" t="inlineStr">
        <is>
          <t>BA §15; Q3</t>
        </is>
      </c>
    </row>
    <row r="61" ht="15" customHeight="1" s="58">
      <c r="A61" s="67" t="inlineStr">
        <is>
          <t>M4</t>
        </is>
      </c>
      <c r="B61" s="67" t="inlineStr">
        <is>
          <t>15 Email</t>
        </is>
      </c>
      <c r="C61" s="67" t="inlineStr">
        <is>
          <t>Email: trả lời từ VClinks, hộp thư NVKD</t>
        </is>
      </c>
      <c r="D61" s="113" t="n">
        <v>1</v>
      </c>
      <c r="E61" s="113" t="n">
        <v>1</v>
      </c>
      <c r="F61" s="113" t="n">
        <v>3</v>
      </c>
      <c r="G61" s="113" t="n">
        <v>5</v>
      </c>
      <c r="H61" s="113" t="n">
        <v>2</v>
      </c>
      <c r="I61" s="113" t="n">
        <v>0</v>
      </c>
      <c r="J61" s="95">
        <f>SUM(D61:I61)</f>
        <v/>
      </c>
      <c r="K61" s="67" t="inlineStr">
        <is>
          <t>BA §15 (sau M3)</t>
        </is>
      </c>
    </row>
    <row r="62" ht="15" customHeight="1" s="58">
      <c r="A62" s="67" t="inlineStr">
        <is>
          <t>M4</t>
        </is>
      </c>
      <c r="B62" s="67" t="inlineStr">
        <is>
          <t>16 Kênh sau này</t>
        </is>
      </c>
      <c r="C62" s="67" t="inlineStr">
        <is>
          <t>Chatbot web tự phục vụ 24/7 (FAQ, tình trạng đơn sau xác thực)</t>
        </is>
      </c>
      <c r="D62" s="113" t="n">
        <v>1</v>
      </c>
      <c r="E62" s="113" t="n">
        <v>1</v>
      </c>
      <c r="F62" s="113" t="n">
        <v>3</v>
      </c>
      <c r="G62" s="113" t="n">
        <v>4</v>
      </c>
      <c r="H62" s="113" t="n">
        <v>2</v>
      </c>
      <c r="I62" s="113" t="n">
        <v>0</v>
      </c>
      <c r="J62" s="95">
        <f>SUM(D62:I62)</f>
        <v/>
      </c>
      <c r="K62" s="67" t="inlineStr">
        <is>
          <t>D4-16; VCL-AI-02, 03</t>
        </is>
      </c>
    </row>
    <row r="63" ht="15" customHeight="1" s="58">
      <c r="A63" s="67" t="inlineStr">
        <is>
          <t>M4</t>
        </is>
      </c>
      <c r="B63" s="67" t="inlineStr">
        <is>
          <t>16 Kênh sau này</t>
        </is>
      </c>
      <c r="C63" s="67" t="inlineStr">
        <is>
          <t>Livechat website (nhân viên trực)</t>
        </is>
      </c>
      <c r="D63" s="113" t="n">
        <v>1</v>
      </c>
      <c r="E63" s="113" t="n">
        <v>1</v>
      </c>
      <c r="F63" s="113" t="n">
        <v>3</v>
      </c>
      <c r="G63" s="113" t="n">
        <v>5</v>
      </c>
      <c r="H63" s="113" t="n">
        <v>2</v>
      </c>
      <c r="I63" s="113" t="n">
        <v>0</v>
      </c>
      <c r="J63" s="95">
        <f>SUM(D63:I63)</f>
        <v/>
      </c>
      <c r="K63" s="67" t="inlineStr">
        <is>
          <t>BA §16</t>
        </is>
      </c>
    </row>
    <row r="64" ht="15" customHeight="1" s="58">
      <c r="A64" s="67" t="inlineStr">
        <is>
          <t>M4</t>
        </is>
      </c>
      <c r="B64" s="67" t="inlineStr">
        <is>
          <t>16 Kênh sau này</t>
        </is>
      </c>
      <c r="C64" s="67" t="inlineStr">
        <is>
          <t>TikTok Shop chat</t>
        </is>
      </c>
      <c r="D64" s="113" t="n">
        <v>1</v>
      </c>
      <c r="E64" s="113" t="n">
        <v>0</v>
      </c>
      <c r="F64" s="113" t="n">
        <v>2</v>
      </c>
      <c r="G64" s="113" t="n">
        <v>6</v>
      </c>
      <c r="H64" s="113" t="n">
        <v>2</v>
      </c>
      <c r="I64" s="113" t="n">
        <v>0</v>
      </c>
      <c r="J64" s="95">
        <f>SUM(D64:I64)</f>
        <v/>
      </c>
      <c r="K64" s="67" t="inlineStr">
        <is>
          <t>BA §16</t>
        </is>
      </c>
    </row>
    <row r="65" ht="15" customHeight="1" s="58">
      <c r="A65" s="67" t="inlineStr">
        <is>
          <t>M4</t>
        </is>
      </c>
      <c r="B65" s="67" t="inlineStr">
        <is>
          <t>16 Kênh sau này</t>
        </is>
      </c>
      <c r="C65" s="67" t="inlineStr">
        <is>
          <t>Shopee chat</t>
        </is>
      </c>
      <c r="D65" s="113" t="n">
        <v>1</v>
      </c>
      <c r="E65" s="113" t="n">
        <v>0</v>
      </c>
      <c r="F65" s="113" t="n">
        <v>2</v>
      </c>
      <c r="G65" s="113" t="n">
        <v>6</v>
      </c>
      <c r="H65" s="113" t="n">
        <v>2</v>
      </c>
      <c r="I65" s="113" t="n">
        <v>0</v>
      </c>
      <c r="J65" s="95">
        <f>SUM(D65:I65)</f>
        <v/>
      </c>
      <c r="K65" s="67" t="inlineStr">
        <is>
          <t>BA §16</t>
        </is>
      </c>
    </row>
    <row r="66" ht="15" customHeight="1" s="58">
      <c r="A66" s="67" t="inlineStr">
        <is>
          <t>M4</t>
        </is>
      </c>
      <c r="B66" s="67" t="inlineStr">
        <is>
          <t>16 Kênh sau này</t>
        </is>
      </c>
      <c r="C66" s="67" t="inlineStr">
        <is>
          <t>Instagram Direct</t>
        </is>
      </c>
      <c r="D66" s="113" t="n">
        <v>1</v>
      </c>
      <c r="E66" s="113" t="n">
        <v>0</v>
      </c>
      <c r="F66" s="113" t="n">
        <v>2</v>
      </c>
      <c r="G66" s="113" t="n">
        <v>5</v>
      </c>
      <c r="H66" s="113" t="n">
        <v>2</v>
      </c>
      <c r="I66" s="113" t="n">
        <v>0</v>
      </c>
      <c r="J66" s="95">
        <f>SUM(D66:I66)</f>
        <v/>
      </c>
      <c r="K66" s="67" t="inlineStr">
        <is>
          <t>BA §16</t>
        </is>
      </c>
    </row>
    <row r="67" ht="15" customHeight="1" s="58">
      <c r="A67" s="67" t="inlineStr">
        <is>
          <t>M4</t>
        </is>
      </c>
      <c r="B67" s="67" t="inlineStr">
        <is>
          <t>16 Kênh sau này</t>
        </is>
      </c>
      <c r="C67" s="67" t="inlineStr">
        <is>
          <t>Tổng đài cloud: cuộc gọi, ghi âm và bản chữ vào dòng thời gian</t>
        </is>
      </c>
      <c r="D67" s="113" t="n">
        <v>1</v>
      </c>
      <c r="E67" s="113" t="n">
        <v>1</v>
      </c>
      <c r="F67" s="113" t="n">
        <v>2</v>
      </c>
      <c r="G67" s="113" t="n">
        <v>6</v>
      </c>
      <c r="H67" s="113" t="n">
        <v>2</v>
      </c>
      <c r="I67" s="113" t="n">
        <v>1</v>
      </c>
      <c r="J67" s="95">
        <f>SUM(D67:I67)</f>
        <v/>
      </c>
      <c r="K67" s="67" t="inlineStr">
        <is>
          <t>BA §16; D5-12</t>
        </is>
      </c>
    </row>
    <row r="68" ht="15" customHeight="1" s="58">
      <c r="A68" s="72" t="inlineStr">
        <is>
          <t>M4</t>
        </is>
      </c>
      <c r="B68" s="73" t="n"/>
      <c r="C68" s="72" t="inlineStr">
        <is>
          <t>Cộng M4</t>
        </is>
      </c>
      <c r="D68" s="114">
        <f>SUM(D46:D67)</f>
        <v/>
      </c>
      <c r="E68" s="114">
        <f>SUM(E46:E67)</f>
        <v/>
      </c>
      <c r="F68" s="114">
        <f>SUM(F46:F67)</f>
        <v/>
      </c>
      <c r="G68" s="114">
        <f>SUM(G46:G67)</f>
        <v/>
      </c>
      <c r="H68" s="114">
        <f>SUM(H46:H67)</f>
        <v/>
      </c>
      <c r="I68" s="114">
        <f>SUM(I46:I67)</f>
        <v/>
      </c>
      <c r="J68" s="114">
        <f>SUM(J46:J67)</f>
        <v/>
      </c>
      <c r="K68" s="73" t="n"/>
    </row>
    <row r="69">
      <c r="A69" s="67" t="n"/>
      <c r="B69" s="67" t="n"/>
      <c r="C69" s="67" t="n"/>
      <c r="D69" s="113" t="n"/>
      <c r="E69" s="113" t="n"/>
      <c r="F69" s="113" t="n"/>
      <c r="G69" s="113" t="n"/>
      <c r="H69" s="113" t="n"/>
      <c r="I69" s="113" t="n"/>
      <c r="J69" s="95" t="n"/>
      <c r="K69" s="67" t="n"/>
    </row>
    <row r="70" ht="15" customHeight="1" s="58">
      <c r="A70" s="72" t="n"/>
      <c r="B70" s="73" t="n"/>
      <c r="C70" s="72" t="inlineStr">
        <is>
          <t>TỔNG M1a → M4</t>
        </is>
      </c>
      <c r="D70" s="114">
        <f>D9+D18+D26+D34+D44+D68</f>
        <v/>
      </c>
      <c r="E70" s="114">
        <f>E9+E18+E26+E34+E44+E68</f>
        <v/>
      </c>
      <c r="F70" s="114">
        <f>F9+F18+F26+F34+F44+F68</f>
        <v/>
      </c>
      <c r="G70" s="114">
        <f>G9+G18+G26+G34+G44+G68</f>
        <v/>
      </c>
      <c r="H70" s="114">
        <f>H9+H18+H26+H34+H44+H68</f>
        <v/>
      </c>
      <c r="I70" s="114">
        <f>I9+I18+I26+I34+I44+I68</f>
        <v/>
      </c>
      <c r="J70" s="114">
        <f>J9+J18+J26+J34+J44+J68</f>
        <v/>
      </c>
      <c r="K70" s="7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vi-VN</dc:language>
  <dcterms:created xmlns:dcterms="http://purl.org/dc/terms/" xmlns:xsi="http://www.w3.org/2001/XMLSchema-instance" xsi:type="dcterms:W3CDTF">2026-10-04T03:38:30Z</dcterms:created>
  <dcterms:modified xmlns:dcterms="http://purl.org/dc/terms/" xmlns:xsi="http://www.w3.org/2001/XMLSchema-instance" xsi:type="dcterms:W3CDTF">2026-10-04T22:13:08Z</dcterms:modified>
  <cp:revision>0</cp:revision>
</cp:coreProperties>
</file>